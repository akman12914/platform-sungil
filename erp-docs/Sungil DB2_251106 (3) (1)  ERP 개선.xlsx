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G:\내 드라이브\성일플랫폼통합\견적서 생성 파일과 관련 DB\카톡전달파일\"/>
    </mc:Choice>
  </mc:AlternateContent>
  <xr:revisionPtr revIDLastSave="0" documentId="8_{554764A8-E81F-4909-B645-D74DE04CF2AD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바닥판" sheetId="1" r:id="rId1"/>
    <sheet name="바닥판단가" sheetId="2" r:id="rId2"/>
    <sheet name="천장판" sheetId="3" r:id="rId3"/>
    <sheet name="천장판타공" sheetId="10" r:id="rId4"/>
    <sheet name="자동지정항목" sheetId="12" r:id="rId5"/>
    <sheet name="자재단가내역" sheetId="11" r:id="rId6"/>
    <sheet name="벽판" sheetId="4" r:id="rId7"/>
    <sheet name="PVE" sheetId="9" r:id="rId8"/>
    <sheet name="데이터 설명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37" i="11" l="1"/>
  <c r="D536" i="11"/>
  <c r="D531" i="11"/>
  <c r="D530" i="11"/>
  <c r="D413" i="11"/>
  <c r="D412" i="11"/>
  <c r="D407" i="11"/>
  <c r="D406" i="11"/>
  <c r="D289" i="11"/>
  <c r="D288" i="11"/>
  <c r="D283" i="11"/>
  <c r="D282" i="11"/>
  <c r="D165" i="11"/>
  <c r="D164" i="11"/>
  <c r="D159" i="11"/>
  <c r="D158" i="11"/>
  <c r="N83" i="1"/>
  <c r="M83" i="1"/>
  <c r="L83" i="1"/>
  <c r="D41" i="11"/>
  <c r="D40" i="11"/>
  <c r="D35" i="11"/>
  <c r="D34" i="11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N135" i="1"/>
  <c r="N134" i="1"/>
  <c r="N133" i="1"/>
  <c r="N132" i="1"/>
  <c r="N131" i="1"/>
  <c r="N130" i="1"/>
  <c r="N129" i="1"/>
  <c r="N128" i="1"/>
  <c r="N127" i="1"/>
  <c r="N126" i="1"/>
  <c r="M125" i="1"/>
  <c r="L125" i="1"/>
  <c r="M124" i="1"/>
  <c r="L124" i="1"/>
  <c r="N124" i="1" s="1"/>
  <c r="M123" i="1"/>
  <c r="L123" i="1"/>
  <c r="M122" i="1"/>
  <c r="L122" i="1"/>
  <c r="N122" i="1" s="1"/>
  <c r="M121" i="1"/>
  <c r="L121" i="1"/>
  <c r="M120" i="1"/>
  <c r="L120" i="1"/>
  <c r="N120" i="1" s="1"/>
  <c r="M119" i="1"/>
  <c r="L119" i="1"/>
  <c r="M118" i="1"/>
  <c r="L118" i="1"/>
  <c r="N118" i="1" s="1"/>
  <c r="N117" i="1"/>
  <c r="N116" i="1"/>
  <c r="N115" i="1"/>
  <c r="M115" i="1"/>
  <c r="L115" i="1"/>
  <c r="N114" i="1"/>
  <c r="M114" i="1"/>
  <c r="L114" i="1"/>
  <c r="N113" i="1"/>
  <c r="M113" i="1"/>
  <c r="L113" i="1"/>
  <c r="N112" i="1"/>
  <c r="M112" i="1"/>
  <c r="L112" i="1"/>
  <c r="N111" i="1"/>
  <c r="M111" i="1"/>
  <c r="L111" i="1"/>
  <c r="N110" i="1"/>
  <c r="M110" i="1"/>
  <c r="L110" i="1"/>
  <c r="N109" i="1"/>
  <c r="M109" i="1"/>
  <c r="L109" i="1"/>
  <c r="N108" i="1"/>
  <c r="M108" i="1"/>
  <c r="L108" i="1"/>
  <c r="N107" i="1"/>
  <c r="M107" i="1"/>
  <c r="L107" i="1"/>
  <c r="N106" i="1"/>
  <c r="M106" i="1"/>
  <c r="L106" i="1"/>
  <c r="N105" i="1"/>
  <c r="M105" i="1"/>
  <c r="L105" i="1"/>
  <c r="N104" i="1"/>
  <c r="M104" i="1"/>
  <c r="L104" i="1"/>
  <c r="N103" i="1"/>
  <c r="M103" i="1"/>
  <c r="L103" i="1"/>
  <c r="N102" i="1"/>
  <c r="M102" i="1"/>
  <c r="L102" i="1"/>
  <c r="N101" i="1"/>
  <c r="M101" i="1"/>
  <c r="L101" i="1"/>
  <c r="N100" i="1"/>
  <c r="M100" i="1"/>
  <c r="L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2" i="1"/>
  <c r="M82" i="1"/>
  <c r="L82" i="1"/>
  <c r="N81" i="1"/>
  <c r="M81" i="1"/>
  <c r="L81" i="1"/>
  <c r="N80" i="1"/>
  <c r="M80" i="1"/>
  <c r="L80" i="1"/>
  <c r="N79" i="1"/>
  <c r="M79" i="1"/>
  <c r="L79" i="1"/>
  <c r="N78" i="1"/>
  <c r="M78" i="1"/>
  <c r="L78" i="1"/>
  <c r="N77" i="1"/>
  <c r="M77" i="1"/>
  <c r="L77" i="1"/>
  <c r="N76" i="1"/>
  <c r="M76" i="1"/>
  <c r="L76" i="1"/>
  <c r="N75" i="1"/>
  <c r="M75" i="1"/>
  <c r="L75" i="1"/>
  <c r="N74" i="1"/>
  <c r="M74" i="1"/>
  <c r="L74" i="1"/>
  <c r="N73" i="1"/>
  <c r="M73" i="1"/>
  <c r="L73" i="1"/>
  <c r="N72" i="1"/>
  <c r="M72" i="1"/>
  <c r="L72" i="1"/>
  <c r="N71" i="1"/>
  <c r="M71" i="1"/>
  <c r="L71" i="1"/>
  <c r="N70" i="1"/>
  <c r="M70" i="1"/>
  <c r="L70" i="1"/>
  <c r="N69" i="1"/>
  <c r="M69" i="1"/>
  <c r="L69" i="1"/>
  <c r="N68" i="1"/>
  <c r="M68" i="1"/>
  <c r="L68" i="1"/>
  <c r="N67" i="1"/>
  <c r="M67" i="1"/>
  <c r="L67" i="1"/>
  <c r="N66" i="1"/>
  <c r="M66" i="1"/>
  <c r="L66" i="1"/>
  <c r="N65" i="1"/>
  <c r="M65" i="1"/>
  <c r="L65" i="1"/>
  <c r="N64" i="1"/>
  <c r="M64" i="1"/>
  <c r="L64" i="1"/>
  <c r="N63" i="1"/>
  <c r="M63" i="1"/>
  <c r="L63" i="1"/>
  <c r="N62" i="1"/>
  <c r="M62" i="1"/>
  <c r="L62" i="1"/>
  <c r="N61" i="1"/>
  <c r="M61" i="1"/>
  <c r="L61" i="1"/>
  <c r="N60" i="1"/>
  <c r="M60" i="1"/>
  <c r="L60" i="1"/>
  <c r="N59" i="1"/>
  <c r="M59" i="1"/>
  <c r="L59" i="1"/>
  <c r="N58" i="1"/>
  <c r="M58" i="1"/>
  <c r="L58" i="1"/>
  <c r="N57" i="1"/>
  <c r="M57" i="1"/>
  <c r="L57" i="1"/>
  <c r="N56" i="1"/>
  <c r="M56" i="1"/>
  <c r="L56" i="1"/>
  <c r="N55" i="1"/>
  <c r="M55" i="1"/>
  <c r="L55" i="1"/>
  <c r="N54" i="1"/>
  <c r="M54" i="1"/>
  <c r="L54" i="1"/>
  <c r="N53" i="1"/>
  <c r="M53" i="1"/>
  <c r="L53" i="1"/>
  <c r="N52" i="1"/>
  <c r="M52" i="1"/>
  <c r="L52" i="1"/>
  <c r="N51" i="1"/>
  <c r="M51" i="1"/>
  <c r="L51" i="1"/>
  <c r="N50" i="1"/>
  <c r="M50" i="1"/>
  <c r="L50" i="1"/>
  <c r="N49" i="1"/>
  <c r="M49" i="1"/>
  <c r="L49" i="1"/>
  <c r="N48" i="1"/>
  <c r="M48" i="1"/>
  <c r="L48" i="1"/>
  <c r="N47" i="1"/>
  <c r="M47" i="1"/>
  <c r="L47" i="1"/>
  <c r="N46" i="1"/>
  <c r="M46" i="1"/>
  <c r="L46" i="1"/>
  <c r="N45" i="1"/>
  <c r="M45" i="1"/>
  <c r="L45" i="1"/>
  <c r="N44" i="1"/>
  <c r="M44" i="1"/>
  <c r="L44" i="1"/>
  <c r="N43" i="1"/>
  <c r="M43" i="1"/>
  <c r="L43" i="1"/>
  <c r="N42" i="1"/>
  <c r="M42" i="1"/>
  <c r="L42" i="1"/>
  <c r="N41" i="1"/>
  <c r="M41" i="1"/>
  <c r="L41" i="1"/>
  <c r="N40" i="1"/>
  <c r="M40" i="1"/>
  <c r="L40" i="1"/>
  <c r="N39" i="1"/>
  <c r="M39" i="1"/>
  <c r="L39" i="1"/>
  <c r="N38" i="1"/>
  <c r="M38" i="1"/>
  <c r="L38" i="1"/>
  <c r="N37" i="1"/>
  <c r="M37" i="1"/>
  <c r="L37" i="1"/>
  <c r="N36" i="1"/>
  <c r="M36" i="1"/>
  <c r="L36" i="1"/>
  <c r="N35" i="1"/>
  <c r="M35" i="1"/>
  <c r="L35" i="1"/>
  <c r="N34" i="1"/>
  <c r="M34" i="1"/>
  <c r="L34" i="1"/>
  <c r="N33" i="1"/>
  <c r="M33" i="1"/>
  <c r="L33" i="1"/>
  <c r="N32" i="1"/>
  <c r="M32" i="1"/>
  <c r="L32" i="1"/>
  <c r="N31" i="1"/>
  <c r="M31" i="1"/>
  <c r="L31" i="1"/>
  <c r="N30" i="1"/>
  <c r="M30" i="1"/>
  <c r="L30" i="1"/>
  <c r="N29" i="1"/>
  <c r="M29" i="1"/>
  <c r="L29" i="1"/>
  <c r="N28" i="1"/>
  <c r="M28" i="1"/>
  <c r="L28" i="1"/>
  <c r="N27" i="1"/>
  <c r="M27" i="1"/>
  <c r="L27" i="1"/>
  <c r="N26" i="1"/>
  <c r="M26" i="1"/>
  <c r="L26" i="1"/>
  <c r="N25" i="1"/>
  <c r="M25" i="1"/>
  <c r="L25" i="1"/>
  <c r="N24" i="1"/>
  <c r="M24" i="1"/>
  <c r="L24" i="1"/>
  <c r="N23" i="1"/>
  <c r="M23" i="1"/>
  <c r="L23" i="1"/>
  <c r="N22" i="1"/>
  <c r="M22" i="1"/>
  <c r="L22" i="1"/>
  <c r="N21" i="1"/>
  <c r="M21" i="1"/>
  <c r="L21" i="1"/>
  <c r="N20" i="1"/>
  <c r="M20" i="1"/>
  <c r="L20" i="1"/>
  <c r="N19" i="1"/>
  <c r="M19" i="1"/>
  <c r="L19" i="1"/>
  <c r="N18" i="1"/>
  <c r="M18" i="1"/>
  <c r="L18" i="1"/>
  <c r="N17" i="1"/>
  <c r="M17" i="1"/>
  <c r="L17" i="1"/>
  <c r="N16" i="1"/>
  <c r="M16" i="1"/>
  <c r="L16" i="1"/>
  <c r="N15" i="1"/>
  <c r="M15" i="1"/>
  <c r="L15" i="1"/>
  <c r="N14" i="1"/>
  <c r="M14" i="1"/>
  <c r="L14" i="1"/>
  <c r="N13" i="1"/>
  <c r="M13" i="1"/>
  <c r="L13" i="1"/>
  <c r="N12" i="1"/>
  <c r="M12" i="1"/>
  <c r="L12" i="1"/>
  <c r="N11" i="1"/>
  <c r="M11" i="1"/>
  <c r="L11" i="1"/>
  <c r="N10" i="1"/>
  <c r="M10" i="1"/>
  <c r="L10" i="1"/>
  <c r="N9" i="1"/>
  <c r="M9" i="1"/>
  <c r="L9" i="1"/>
  <c r="N8" i="1"/>
  <c r="M8" i="1"/>
  <c r="L8" i="1"/>
  <c r="N7" i="1"/>
  <c r="M7" i="1"/>
  <c r="L7" i="1"/>
  <c r="N6" i="1"/>
  <c r="M6" i="1"/>
  <c r="L6" i="1"/>
  <c r="N5" i="1"/>
  <c r="M5" i="1"/>
  <c r="L5" i="1"/>
  <c r="N4" i="1"/>
  <c r="M4" i="1"/>
  <c r="L4" i="1"/>
  <c r="N3" i="1"/>
  <c r="M3" i="1"/>
  <c r="L3" i="1"/>
  <c r="N2" i="1"/>
  <c r="M2" i="1"/>
  <c r="L2" i="1"/>
  <c r="N121" i="1" l="1"/>
  <c r="N123" i="1"/>
  <c r="N125" i="1"/>
  <c r="N119" i="1"/>
</calcChain>
</file>

<file path=xl/sharedStrings.xml><?xml version="1.0" encoding="utf-8"?>
<sst xmlns="http://schemas.openxmlformats.org/spreadsheetml/2006/main" count="3175" uniqueCount="622">
  <si>
    <t>소재</t>
  </si>
  <si>
    <t>유형</t>
  </si>
  <si>
    <t>형태</t>
  </si>
  <si>
    <t>용도</t>
  </si>
  <si>
    <t>경계</t>
  </si>
  <si>
    <t>욕실폭</t>
  </si>
  <si>
    <t>욕실길이</t>
  </si>
  <si>
    <t>세면부폭</t>
  </si>
  <si>
    <t>세면부길이</t>
  </si>
  <si>
    <t>샤워부폭</t>
  </si>
  <si>
    <t>샤워부길이</t>
  </si>
  <si>
    <t>세면부바닥판 단가</t>
  </si>
  <si>
    <t>샤워부바닥판 단가</t>
  </si>
  <si>
    <t>소계</t>
  </si>
  <si>
    <t>GRP</t>
  </si>
  <si>
    <t>기본형</t>
  </si>
  <si>
    <t>코너형</t>
  </si>
  <si>
    <t>샤워형</t>
  </si>
  <si>
    <t>구분</t>
  </si>
  <si>
    <t>사각형</t>
  </si>
  <si>
    <t>구분없음</t>
  </si>
  <si>
    <t>NaN</t>
  </si>
  <si>
    <t>중앙배수</t>
  </si>
  <si>
    <t>욕조형</t>
  </si>
  <si>
    <t>FRP</t>
  </si>
  <si>
    <t>일체형</t>
  </si>
  <si>
    <t>타일일체형</t>
  </si>
  <si>
    <t>구조</t>
  </si>
  <si>
    <t>욕실공간</t>
  </si>
  <si>
    <t>길이</t>
  </si>
  <si>
    <t>단가</t>
  </si>
  <si>
    <t>세면부</t>
  </si>
  <si>
    <t>판넬/점검구</t>
  </si>
  <si>
    <t>품명</t>
  </si>
  <si>
    <t>폭</t>
  </si>
  <si>
    <t>바디판넬</t>
  </si>
  <si>
    <t>SI-2</t>
  </si>
  <si>
    <t>SI-3</t>
  </si>
  <si>
    <t>SI-4</t>
  </si>
  <si>
    <t>SI-5</t>
  </si>
  <si>
    <t>SI-6</t>
  </si>
  <si>
    <t>SI-7</t>
  </si>
  <si>
    <t>SI-8</t>
  </si>
  <si>
    <t>SI-9</t>
  </si>
  <si>
    <t>SI-10</t>
  </si>
  <si>
    <t>SI-11</t>
  </si>
  <si>
    <t>사이드판넬</t>
  </si>
  <si>
    <t>900a</t>
  </si>
  <si>
    <t>900b</t>
  </si>
  <si>
    <t>점검구</t>
  </si>
  <si>
    <t>variable</t>
  </si>
  <si>
    <t>value</t>
  </si>
  <si>
    <t>프레임단가_15각</t>
  </si>
  <si>
    <t>프레임단가_16각</t>
  </si>
  <si>
    <t>프레임단가_19각</t>
  </si>
  <si>
    <t>P_U단가_15각</t>
  </si>
  <si>
    <t>P_U단가_16각</t>
  </si>
  <si>
    <t>P_U단가_19각</t>
  </si>
  <si>
    <t>조립클립단가</t>
  </si>
  <si>
    <t>설비감가비</t>
  </si>
  <si>
    <t>제조경비_판넬당</t>
  </si>
  <si>
    <t>타일관리비_단가</t>
  </si>
  <si>
    <t>출고_렉입고_단가</t>
  </si>
  <si>
    <t>생산인건비_일단가</t>
  </si>
  <si>
    <t>프레임_LOSS_배수</t>
  </si>
  <si>
    <t>벽체높이_기본_m</t>
  </si>
  <si>
    <t>기준생산량_1_5이하</t>
  </si>
  <si>
    <t>기준생산량_1_51_1_89</t>
  </si>
  <si>
    <t>기준생산량_1_9이상</t>
  </si>
  <si>
    <t>시급_1_5이하</t>
  </si>
  <si>
    <t>시급_1_51_1_89</t>
  </si>
  <si>
    <t>시급_1_9이상</t>
  </si>
  <si>
    <t>도어폭_0_7m</t>
  </si>
  <si>
    <t>도어폭_0_8m</t>
  </si>
  <si>
    <t>컬럼</t>
  </si>
  <si>
    <t>타입</t>
  </si>
  <si>
    <t>단위</t>
  </si>
  <si>
    <t>예시</t>
  </si>
  <si>
    <t>설명</t>
  </si>
  <si>
    <t>string</t>
  </si>
  <si>
    <t>-</t>
  </si>
  <si>
    <t>제품 구조/배수/일체형 구분</t>
  </si>
  <si>
    <t>욕실 형태(코너/사각/욕조 등)</t>
  </si>
  <si>
    <t>적용 구간(세면/샤워/단차없음/샤워형/욕조형 등)</t>
  </si>
  <si>
    <t>int</t>
  </si>
  <si>
    <t>mm</t>
  </si>
  <si>
    <t>바닥판 폭(가로)</t>
  </si>
  <si>
    <t>바닥판 길이(세로)</t>
  </si>
  <si>
    <t>KRW</t>
  </si>
  <si>
    <t>단가(원). 쉼표/공백 제거 후 정수로 저장 권장</t>
  </si>
  <si>
    <t xml:space="preserve">바닥판 단가   </t>
    <phoneticPr fontId="2" type="noConversion"/>
  </si>
  <si>
    <t>바닥판</t>
    <phoneticPr fontId="2" type="noConversion"/>
  </si>
  <si>
    <t>허용값/예시</t>
  </si>
  <si>
    <t>GRP, FRP</t>
  </si>
  <si>
    <t>바닥판 소재</t>
  </si>
  <si>
    <t>기본형, 중앙배수, 일체형, 타일일체형</t>
  </si>
  <si>
    <t>구조/제품 타입</t>
  </si>
  <si>
    <t>코너형, 사각형</t>
  </si>
  <si>
    <t>욕실 형태</t>
  </si>
  <si>
    <t>샤워형, 욕조형</t>
  </si>
  <si>
    <t>욕실 용도 구분</t>
  </si>
  <si>
    <t>구분, 구분없음</t>
  </si>
  <si>
    <t>세면/샤워 분해 여부</t>
  </si>
  <si>
    <t>전체 욕실 폭</t>
  </si>
  <si>
    <t>전체 욕실 길이</t>
  </si>
  <si>
    <t>int/NaN</t>
  </si>
  <si>
    <t>1300 또는 NaN</t>
  </si>
  <si>
    <t>경계=구분일 때만 채움</t>
  </si>
  <si>
    <t>1400 또는 NaN</t>
  </si>
  <si>
    <t>900 또는 NaN</t>
  </si>
  <si>
    <t>700 또는 NaN</t>
  </si>
  <si>
    <t>51610 또는 NaN</t>
  </si>
  <si>
    <t>세면부 바닥판 단가(원)</t>
  </si>
  <si>
    <t>20666 또는 NaN</t>
  </si>
  <si>
    <t>샤워부 바닥판 단가(원)</t>
  </si>
  <si>
    <t>최종 합계 단가(원)</t>
  </si>
  <si>
    <t>컬럼</t>
    <phoneticPr fontId="2" type="noConversion"/>
  </si>
  <si>
    <t>설명</t>
    <phoneticPr fontId="2" type="noConversion"/>
  </si>
  <si>
    <t>천장판</t>
    <phoneticPr fontId="2" type="noConversion"/>
  </si>
  <si>
    <t>컬럼명</t>
  </si>
  <si>
    <t>품목(카테고리) 구분(바디판넬/사이드판넬/점검구)</t>
  </si>
  <si>
    <t>카탈로그 품번/규격 코드(예: SI-2, 900a, 1100 등)</t>
  </si>
  <si>
    <t>폭(가로) 치수</t>
  </si>
  <si>
    <t>길이(세로) 치수</t>
  </si>
  <si>
    <t>품목 1개 기준 단가(원). 쉼표/공백이 있으면 제거 후 정수 변환 권장</t>
  </si>
  <si>
    <t>상수 이름(키). 코드에서 이 문자열로 값을 조회함</t>
  </si>
  <si>
    <t>number</t>
  </si>
  <si>
    <t>(변수별 상이)</t>
  </si>
  <si>
    <r>
      <t xml:space="preserve">상수 값. 단위는 변수 의미에 따라 다르며, 가능하면 별도 </t>
    </r>
    <r>
      <rPr>
        <sz val="10"/>
        <color theme="1"/>
        <rFont val="Arial Unicode MS"/>
        <family val="2"/>
      </rPr>
      <t>unit</t>
    </r>
    <r>
      <rPr>
        <sz val="11"/>
        <color theme="1"/>
        <rFont val="Aptos Narrow"/>
        <family val="2"/>
        <scheme val="minor"/>
      </rPr>
      <t xml:space="preserve"> 컬럼 추가 권장</t>
    </r>
  </si>
  <si>
    <t>벽판</t>
    <phoneticPr fontId="2" type="noConversion"/>
  </si>
  <si>
    <r>
      <rPr>
        <sz val="11"/>
        <color theme="1"/>
        <rFont val="맑은 고딕"/>
        <family val="3"/>
        <charset val="129"/>
      </rPr>
      <t>바닥판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소재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구분</t>
    </r>
    <r>
      <rPr>
        <sz val="11"/>
        <color theme="1"/>
        <rFont val="Aptos Narrow"/>
        <family val="2"/>
        <scheme val="minor"/>
      </rPr>
      <t>(GRP/FRP)</t>
    </r>
    <r>
      <rPr>
        <sz val="11"/>
        <color theme="1"/>
        <rFont val="Aptos Narrow"/>
        <family val="3"/>
        <charset val="129"/>
        <scheme val="minor"/>
      </rPr>
      <t>. PVE</t>
    </r>
    <r>
      <rPr>
        <sz val="11"/>
        <color theme="1"/>
        <rFont val="맑은 고딕"/>
        <family val="3"/>
        <charset val="129"/>
      </rPr>
      <t xml:space="preserve">는 </t>
    </r>
    <r>
      <rPr>
        <sz val="11"/>
        <color theme="1"/>
        <rFont val="Aptos Narrow"/>
        <family val="3"/>
        <charset val="129"/>
        <scheme val="minor"/>
      </rPr>
      <t>GRP/FRP</t>
    </r>
    <r>
      <rPr>
        <sz val="11"/>
        <color theme="1"/>
        <rFont val="맑은 고딕"/>
        <family val="3"/>
        <charset val="129"/>
      </rPr>
      <t>가 아닌 경우에 선택하게 됨</t>
    </r>
    <phoneticPr fontId="2" type="noConversion"/>
  </si>
  <si>
    <t>일반형</t>
    <phoneticPr fontId="2" type="noConversion"/>
  </si>
  <si>
    <t>욕실선반형</t>
    <phoneticPr fontId="2" type="noConversion"/>
  </si>
  <si>
    <t>원재료비</t>
    <phoneticPr fontId="2" type="noConversion"/>
  </si>
  <si>
    <t>가공비</t>
    <phoneticPr fontId="2" type="noConversion"/>
  </si>
  <si>
    <t>품목</t>
  </si>
  <si>
    <t>비고</t>
  </si>
  <si>
    <t>환풍기홀</t>
  </si>
  <si>
    <t>2인 15EA/시간(1개)</t>
  </si>
  <si>
    <t>사각매립등</t>
  </si>
  <si>
    <t>원형등</t>
  </si>
  <si>
    <t>2인 35EA/시간(1개)</t>
  </si>
  <si>
    <t>직선1회</t>
  </si>
  <si>
    <t>2인 40EA/시간</t>
  </si>
  <si>
    <t>모래</t>
  </si>
  <si>
    <t>시멘트</t>
  </si>
  <si>
    <t>압착시멘트</t>
  </si>
  <si>
    <t>심패드</t>
  </si>
  <si>
    <t>냉온수배관</t>
  </si>
  <si>
    <t>도어락</t>
  </si>
  <si>
    <t>문틀 받침대</t>
  </si>
  <si>
    <t>양변기</t>
  </si>
  <si>
    <t>욕실장</t>
  </si>
  <si>
    <t>거울</t>
  </si>
  <si>
    <t>액세서리</t>
  </si>
  <si>
    <t>칸막이</t>
  </si>
  <si>
    <t>욕실등</t>
  </si>
  <si>
    <t>욕조</t>
  </si>
  <si>
    <t>백시멘트</t>
  </si>
  <si>
    <t>실리콘(내항균성)</t>
  </si>
  <si>
    <t>실리콘(외장용)</t>
  </si>
  <si>
    <t>우레탄폼</t>
  </si>
  <si>
    <t>바디</t>
  </si>
  <si>
    <t>사이드</t>
  </si>
  <si>
    <t xml:space="preserve">폭 </t>
  </si>
  <si>
    <t>251106업데이트</t>
  </si>
  <si>
    <t>샤워부</t>
  </si>
  <si>
    <t>단차없음</t>
  </si>
  <si>
    <t>2인 40EA/시간(1면절단)</t>
    <phoneticPr fontId="2" type="noConversion"/>
  </si>
  <si>
    <t>2인 40EA/시간(1면절단)</t>
  </si>
  <si>
    <t>PVE 욕실 유형</t>
    <phoneticPr fontId="2" type="noConversion"/>
  </si>
  <si>
    <t>샤워부길이</t>
    <phoneticPr fontId="2" type="noConversion"/>
  </si>
  <si>
    <t>욕실타일벽체 세트</t>
  </si>
  <si>
    <t>욕조 SL</t>
  </si>
  <si>
    <t>욕조 SP</t>
  </si>
  <si>
    <t>에프런 SL</t>
  </si>
  <si>
    <t>에프런 SP</t>
  </si>
  <si>
    <t>FRP바닥판</t>
  </si>
  <si>
    <t>욕실천장판</t>
  </si>
  <si>
    <t>GRP바닥판</t>
  </si>
  <si>
    <t>욕조부자재</t>
  </si>
  <si>
    <t>PU충진제</t>
  </si>
  <si>
    <t>조립자재</t>
  </si>
  <si>
    <t>PVE 전용 부속자재</t>
  </si>
  <si>
    <t>부직포</t>
  </si>
  <si>
    <t>브라인드 리벳</t>
  </si>
  <si>
    <t>공통 및 부속자재</t>
  </si>
  <si>
    <t>문세트(일반)</t>
  </si>
  <si>
    <t>문세트(포켓도어)</t>
  </si>
  <si>
    <t>도기 및 수전</t>
  </si>
  <si>
    <t>PVE 바닥판</t>
  </si>
  <si>
    <t>실리콘</t>
  </si>
  <si>
    <t>자동차용 시트</t>
  </si>
  <si>
    <t>타일류</t>
  </si>
  <si>
    <t>테이프</t>
  </si>
  <si>
    <t>오배수배관</t>
  </si>
  <si>
    <t>대분류</t>
  </si>
  <si>
    <t>대분류</t>
    <phoneticPr fontId="2" type="noConversion"/>
  </si>
  <si>
    <t>욕실타일벽체 세트</t>
    <phoneticPr fontId="2" type="noConversion"/>
  </si>
  <si>
    <t>중분류</t>
  </si>
  <si>
    <t>중분류</t>
    <phoneticPr fontId="2" type="noConversion"/>
  </si>
  <si>
    <t>코너신형</t>
  </si>
  <si>
    <t>사각형(샤워타입)</t>
  </si>
  <si>
    <t>SL1600*3.5</t>
  </si>
  <si>
    <t>SL1750*3.5</t>
  </si>
  <si>
    <t>욕조 시공비</t>
  </si>
  <si>
    <t>SP1400*3.5</t>
  </si>
  <si>
    <t>SP1500*3.5</t>
  </si>
  <si>
    <t>SP1600*3.5</t>
  </si>
  <si>
    <t>SP1700*3.5</t>
  </si>
  <si>
    <t>SL1750(폭450)</t>
  </si>
  <si>
    <t>SL1750(폭500)</t>
  </si>
  <si>
    <t>SP1600</t>
  </si>
  <si>
    <t>SP1700</t>
  </si>
  <si>
    <t>사각형(사워타입)</t>
  </si>
  <si>
    <t>1000 사이드</t>
  </si>
  <si>
    <t>1100 사이드</t>
  </si>
  <si>
    <t>1200 사이드</t>
  </si>
  <si>
    <t>SI-185 바디</t>
  </si>
  <si>
    <t>SI-185 돔형 점검구</t>
  </si>
  <si>
    <t>SI-185 평형 점검구</t>
  </si>
  <si>
    <t>무광-1 바디</t>
  </si>
  <si>
    <t>SI-1 돔형 점검구</t>
  </si>
  <si>
    <t>2000 사이드</t>
  </si>
  <si>
    <t>SI-2,3,4,5 돔형 점검구</t>
  </si>
  <si>
    <t>SI-2,3,4,5 평형 점검구</t>
  </si>
  <si>
    <t>SI-2 바디</t>
  </si>
  <si>
    <t>SI-3 바디</t>
  </si>
  <si>
    <t>SI-4 바디</t>
  </si>
  <si>
    <t>SI-5 바디</t>
  </si>
  <si>
    <t>SI-6,7,8 평형 점검구</t>
  </si>
  <si>
    <t>SI-6 바디</t>
  </si>
  <si>
    <t>700 사이드</t>
  </si>
  <si>
    <t>750 사이드</t>
  </si>
  <si>
    <t>SI-7 바디</t>
  </si>
  <si>
    <t>800 사이드</t>
  </si>
  <si>
    <t>SI-8 바디</t>
  </si>
  <si>
    <t>900 사이드</t>
  </si>
  <si>
    <t>960 사이드</t>
  </si>
  <si>
    <t>SI-9 바디</t>
  </si>
  <si>
    <t>SI-9 평형 점검구</t>
  </si>
  <si>
    <t>SI-10 돔형 점검구</t>
  </si>
  <si>
    <t>무광 1000 사이드</t>
  </si>
  <si>
    <t>무광 1370 사이드</t>
  </si>
  <si>
    <t>무광-1 평형 점검구</t>
  </si>
  <si>
    <t>무광-2 바디</t>
  </si>
  <si>
    <t>무광-2 평형 점검구</t>
  </si>
  <si>
    <t>SI-10 바디</t>
  </si>
  <si>
    <t>SI-9 돔형 점검구</t>
  </si>
  <si>
    <t>욕실천장판 관리비</t>
  </si>
  <si>
    <t>SI-1 바디</t>
  </si>
  <si>
    <t>무광-1 점검구</t>
  </si>
  <si>
    <t>욕실천장판 시공비</t>
  </si>
  <si>
    <t>코너신형 샤워부</t>
  </si>
  <si>
    <t>코너신형 세면부</t>
  </si>
  <si>
    <t>사각형 (욕조)</t>
  </si>
  <si>
    <t>사각형 (샤워)</t>
  </si>
  <si>
    <t>욕조 배수세트</t>
  </si>
  <si>
    <t>걸음망(손잡이)</t>
  </si>
  <si>
    <t>자바라호스</t>
  </si>
  <si>
    <t>높이조절받침대</t>
  </si>
  <si>
    <t>기초판볼트</t>
  </si>
  <si>
    <t>기초판너트</t>
  </si>
  <si>
    <t>일자호스캡</t>
  </si>
  <si>
    <t>엘보형호스캡</t>
  </si>
  <si>
    <t>욕조마개</t>
  </si>
  <si>
    <t>배수금구세트</t>
  </si>
  <si>
    <t>MDI</t>
  </si>
  <si>
    <t>POLYOL</t>
  </si>
  <si>
    <t>벽부착 욕실의자</t>
  </si>
  <si>
    <t>코너선반</t>
  </si>
  <si>
    <t>안전손잡이(I형)</t>
  </si>
  <si>
    <t>안전손잡이(L형)</t>
  </si>
  <si>
    <t>슬라이드바</t>
  </si>
  <si>
    <t>일자선반</t>
  </si>
  <si>
    <t>휴지걸이</t>
  </si>
  <si>
    <t>수건걸이</t>
  </si>
  <si>
    <t>볼트(PVE용)</t>
  </si>
  <si>
    <t>코너브라켓</t>
  </si>
  <si>
    <t>L자 코너브라켓</t>
  </si>
  <si>
    <t>고무사출패드</t>
  </si>
  <si>
    <t>이면지지대</t>
  </si>
  <si>
    <t>너트(PVE용)</t>
  </si>
  <si>
    <t>평브라켓</t>
  </si>
  <si>
    <t>평클립</t>
  </si>
  <si>
    <t>SDS 직결피스</t>
  </si>
  <si>
    <t>배수구 편심소켓</t>
  </si>
  <si>
    <t>양변기 소켓</t>
  </si>
  <si>
    <t>세면,샤워,바닥 배수 세트</t>
  </si>
  <si>
    <t>벽체코너 받침대</t>
  </si>
  <si>
    <t>볼트</t>
  </si>
  <si>
    <t>없음</t>
  </si>
  <si>
    <t>앵글밸브</t>
  </si>
  <si>
    <t>코너비드(벽체 안쪽)</t>
  </si>
  <si>
    <t>코너마감재(벽체 뒤쪽)</t>
  </si>
  <si>
    <t>직결피스</t>
  </si>
  <si>
    <t>드레인커버</t>
  </si>
  <si>
    <t>배수트랩</t>
  </si>
  <si>
    <t>도어씰(문지방)</t>
  </si>
  <si>
    <t>UBR에폭시 접착제</t>
  </si>
  <si>
    <t>폼업</t>
  </si>
  <si>
    <t>보온재</t>
  </si>
  <si>
    <t>방통 스펀지</t>
  </si>
  <si>
    <t>종이 테이프</t>
  </si>
  <si>
    <t>종이테이프</t>
  </si>
  <si>
    <t>레미콘</t>
  </si>
  <si>
    <t>보강목</t>
  </si>
  <si>
    <t>환봉</t>
  </si>
  <si>
    <t>재료분리대(인조대리석)</t>
  </si>
  <si>
    <t>재료분리대(SUS304)</t>
  </si>
  <si>
    <t>스폰지테이프</t>
  </si>
  <si>
    <t>S트랩</t>
  </si>
  <si>
    <t>타일 평탄 클립</t>
  </si>
  <si>
    <t>세면대 브라켓</t>
  </si>
  <si>
    <t>세면대 브라켓 피스</t>
  </si>
  <si>
    <t>아연판</t>
  </si>
  <si>
    <t>아연각관</t>
  </si>
  <si>
    <t>PB이중관(오픈수전함)</t>
  </si>
  <si>
    <t>스토퍼</t>
  </si>
  <si>
    <t>경첩(스텐피스)</t>
  </si>
  <si>
    <t>문짝(일반)</t>
  </si>
  <si>
    <t>문틀(일반)</t>
  </si>
  <si>
    <t>오목손잡이</t>
  </si>
  <si>
    <t>본틀(포켓도어)</t>
  </si>
  <si>
    <t>가틀(포켓도어)</t>
  </si>
  <si>
    <t>샤워 파티션</t>
  </si>
  <si>
    <t>겸용 수전</t>
  </si>
  <si>
    <t>샤워 수전</t>
  </si>
  <si>
    <t>세면기</t>
  </si>
  <si>
    <t>세면기 수전</t>
  </si>
  <si>
    <t>DSMC</t>
  </si>
  <si>
    <t>DWL1769</t>
  </si>
  <si>
    <t>DWL7769</t>
  </si>
  <si>
    <t>DWL7822</t>
  </si>
  <si>
    <t>DWL2903</t>
  </si>
  <si>
    <t>DWL4903</t>
  </si>
  <si>
    <t>HBD4063</t>
  </si>
  <si>
    <t>HBD7063</t>
  </si>
  <si>
    <t>바닥용 타일 200*200</t>
  </si>
  <si>
    <t>바닥용 타일 300*300</t>
  </si>
  <si>
    <t>벽체용 타일 250*400</t>
  </si>
  <si>
    <t>벽체용 타일 300*600</t>
  </si>
  <si>
    <t>스펀지 테이프</t>
  </si>
  <si>
    <t>백색 OPP테이프</t>
  </si>
  <si>
    <t>방화장치</t>
  </si>
  <si>
    <t>저소음 엘보</t>
  </si>
  <si>
    <t>PVC본드</t>
  </si>
  <si>
    <t>PVC파이프(VG1)</t>
  </si>
  <si>
    <t>PVC파이프(VG2)</t>
  </si>
  <si>
    <t>레듀샤</t>
  </si>
  <si>
    <t>슬리브 설치,해체</t>
  </si>
  <si>
    <t>성형슬리브</t>
  </si>
  <si>
    <t>양변기 엘보</t>
  </si>
  <si>
    <t>임시마개(양변기용)</t>
  </si>
  <si>
    <t>Y관 엘보</t>
  </si>
  <si>
    <t>1700*2200LA</t>
  </si>
  <si>
    <t>1500*2300LA</t>
  </si>
  <si>
    <t>1500*2300LA(주약)</t>
  </si>
  <si>
    <t>1600*2100LA</t>
  </si>
  <si>
    <t>1600*2100LA(주약)</t>
  </si>
  <si>
    <t>1600*2200LA</t>
  </si>
  <si>
    <t>1600*2200LA(주약)</t>
  </si>
  <si>
    <t>1400*1900LA</t>
  </si>
  <si>
    <t>1400*1900RA</t>
  </si>
  <si>
    <t>1500*2200LA</t>
  </si>
  <si>
    <t>750*1600</t>
  </si>
  <si>
    <t>750*1750</t>
  </si>
  <si>
    <t>NONE</t>
  </si>
  <si>
    <t>720*1400</t>
  </si>
  <si>
    <t>720*1500</t>
  </si>
  <si>
    <t>740*1600</t>
  </si>
  <si>
    <t>750*1700</t>
  </si>
  <si>
    <t>450*1750</t>
  </si>
  <si>
    <t>500*1750</t>
  </si>
  <si>
    <t>490*1600</t>
  </si>
  <si>
    <t>510*1700</t>
  </si>
  <si>
    <t>1000*1750</t>
  </si>
  <si>
    <t>1100*1850</t>
  </si>
  <si>
    <t>1200*1750</t>
  </si>
  <si>
    <t>1370*1850</t>
  </si>
  <si>
    <t>650*900</t>
  </si>
  <si>
    <t>1370*1750</t>
  </si>
  <si>
    <t>750*900</t>
  </si>
  <si>
    <t>1200*2000</t>
  </si>
  <si>
    <t>700*900</t>
  </si>
  <si>
    <t>1300*2000</t>
  </si>
  <si>
    <t>1300*1750</t>
  </si>
  <si>
    <t>1350*1750</t>
  </si>
  <si>
    <t>1450*1750</t>
  </si>
  <si>
    <t>450*450</t>
  </si>
  <si>
    <t>700*1750</t>
  </si>
  <si>
    <t>750*1850</t>
  </si>
  <si>
    <t>800*1750</t>
  </si>
  <si>
    <t>900*1750</t>
  </si>
  <si>
    <t>900*960</t>
  </si>
  <si>
    <t>500*650</t>
  </si>
  <si>
    <t>500*600</t>
  </si>
  <si>
    <t>1260*1850</t>
  </si>
  <si>
    <t>1260*1750</t>
  </si>
  <si>
    <t>1000*1000</t>
  </si>
  <si>
    <t xml:space="preserve">1000*850 </t>
  </si>
  <si>
    <t xml:space="preserve">1000*900 </t>
  </si>
  <si>
    <t xml:space="preserve">1000*950 </t>
  </si>
  <si>
    <t xml:space="preserve">600*1000 </t>
  </si>
  <si>
    <t xml:space="preserve">600*850 </t>
  </si>
  <si>
    <t>600*900</t>
  </si>
  <si>
    <t xml:space="preserve">600*950 </t>
  </si>
  <si>
    <t xml:space="preserve">700*1000 </t>
  </si>
  <si>
    <t xml:space="preserve">700*850 </t>
  </si>
  <si>
    <t xml:space="preserve">700*950 </t>
  </si>
  <si>
    <t xml:space="preserve">800*1000 </t>
  </si>
  <si>
    <t xml:space="preserve">800*850 </t>
  </si>
  <si>
    <t xml:space="preserve">800*900 </t>
  </si>
  <si>
    <t xml:space="preserve">800*950 </t>
  </si>
  <si>
    <t xml:space="preserve">850*1000 </t>
  </si>
  <si>
    <t xml:space="preserve">850*850 </t>
  </si>
  <si>
    <t xml:space="preserve">850*900 </t>
  </si>
  <si>
    <t xml:space="preserve">850*950 </t>
  </si>
  <si>
    <t xml:space="preserve">900*1000 </t>
  </si>
  <si>
    <t xml:space="preserve">900*850 </t>
  </si>
  <si>
    <t xml:space="preserve">900*900 </t>
  </si>
  <si>
    <t xml:space="preserve">900*950 </t>
  </si>
  <si>
    <t xml:space="preserve">950*1000 </t>
  </si>
  <si>
    <t xml:space="preserve">950*850 </t>
  </si>
  <si>
    <t>950*900</t>
  </si>
  <si>
    <t xml:space="preserve">950*950 </t>
  </si>
  <si>
    <t>1400*1900좌</t>
  </si>
  <si>
    <t>1400*1900우</t>
  </si>
  <si>
    <t>1400*2000좌</t>
  </si>
  <si>
    <t>1400*2000우</t>
  </si>
  <si>
    <t>1400*2100좌</t>
  </si>
  <si>
    <t>1400*2100우</t>
  </si>
  <si>
    <t>1400*2200좌</t>
  </si>
  <si>
    <t>1400*2200우</t>
  </si>
  <si>
    <t>1400*2300좌</t>
  </si>
  <si>
    <t>1400*2300우</t>
  </si>
  <si>
    <t>1400*2400좌</t>
  </si>
  <si>
    <t>1400*2400우</t>
  </si>
  <si>
    <t>1500*1900좌</t>
  </si>
  <si>
    <t>1500*1900우</t>
  </si>
  <si>
    <t>1500*2000좌</t>
  </si>
  <si>
    <t>1500*2000우</t>
  </si>
  <si>
    <t>1500*2100좌</t>
  </si>
  <si>
    <t>1500*2100우</t>
  </si>
  <si>
    <t>1500*2200좌</t>
  </si>
  <si>
    <t>1500*2200우</t>
  </si>
  <si>
    <t>1500*2300좌</t>
  </si>
  <si>
    <t>1500*2300우</t>
  </si>
  <si>
    <t>1500*2400좌</t>
  </si>
  <si>
    <t>1500*2400우</t>
  </si>
  <si>
    <t>1600*1900좌</t>
  </si>
  <si>
    <t>1600*1900우</t>
  </si>
  <si>
    <t>1600*2000좌</t>
  </si>
  <si>
    <t>1600*2000우</t>
  </si>
  <si>
    <t>1600*2100좌</t>
  </si>
  <si>
    <t>1600*2100우</t>
  </si>
  <si>
    <t>1600*2200좌</t>
  </si>
  <si>
    <t>1600*2200우</t>
  </si>
  <si>
    <t>1600*2300좌</t>
  </si>
  <si>
    <t>1600*2300우</t>
  </si>
  <si>
    <t>1600*2400좌</t>
  </si>
  <si>
    <t>1600*2400우</t>
  </si>
  <si>
    <t>SL (Ø 66 도금형 500 "일" 자)</t>
  </si>
  <si>
    <t>SL (Ø 66 도금형 500 "ㄴ" 자)</t>
  </si>
  <si>
    <t>SP (Ø 72 도금형 900 "ㄴ" 자)</t>
  </si>
  <si>
    <t>SP (Ø 72 도금형 900 "일" 자)</t>
  </si>
  <si>
    <t>내열뮨</t>
  </si>
  <si>
    <t>일자형 900</t>
  </si>
  <si>
    <t>80*40</t>
  </si>
  <si>
    <t>M12*150</t>
  </si>
  <si>
    <t>M12</t>
  </si>
  <si>
    <t>크롬도금</t>
  </si>
  <si>
    <t>PM-200 외</t>
  </si>
  <si>
    <t>BP-345S</t>
  </si>
  <si>
    <t>360*407*480</t>
  </si>
  <si>
    <t>1단가이드</t>
  </si>
  <si>
    <t>2단가이드</t>
  </si>
  <si>
    <t>HI-605</t>
  </si>
  <si>
    <t>HI-A006</t>
  </si>
  <si>
    <t>690*130</t>
  </si>
  <si>
    <t>600*900 좌</t>
  </si>
  <si>
    <t>600*900 우</t>
  </si>
  <si>
    <t>690*800*5T</t>
  </si>
  <si>
    <t>690*900*5T</t>
  </si>
  <si>
    <t>A02</t>
  </si>
  <si>
    <t>L:500</t>
  </si>
  <si>
    <t>DS-63900</t>
  </si>
  <si>
    <t>FA-155C</t>
  </si>
  <si>
    <t>FA-180C</t>
  </si>
  <si>
    <t>HI-603</t>
  </si>
  <si>
    <t>HI-607</t>
  </si>
  <si>
    <t>HY-605</t>
  </si>
  <si>
    <t>KF601</t>
  </si>
  <si>
    <t>P0542</t>
  </si>
  <si>
    <t>AC-1202</t>
  </si>
  <si>
    <t>EL-400-2</t>
  </si>
  <si>
    <t>FA-230SC</t>
  </si>
  <si>
    <t>HI-A412</t>
  </si>
  <si>
    <t>HY-A412</t>
  </si>
  <si>
    <t>T-55-1</t>
  </si>
  <si>
    <t>AC-1201</t>
  </si>
  <si>
    <t>DS-11</t>
  </si>
  <si>
    <t>EL-400-1</t>
  </si>
  <si>
    <t>FA-230AC</t>
  </si>
  <si>
    <t>HAS-1072</t>
  </si>
  <si>
    <t>HI-A411</t>
  </si>
  <si>
    <t>HY-A411</t>
  </si>
  <si>
    <t>M12X80L</t>
  </si>
  <si>
    <t>중</t>
  </si>
  <si>
    <t>상,하(250각용)</t>
  </si>
  <si>
    <t>상,하(300각용)</t>
  </si>
  <si>
    <t>상,하</t>
  </si>
  <si>
    <t>30*50</t>
  </si>
  <si>
    <t>10t+10t 코너용(대명 홍천용)</t>
  </si>
  <si>
    <t>10t+10t 평면 좌,우 연결용(대명 홍천용)</t>
  </si>
  <si>
    <t>15*15*1.2T</t>
  </si>
  <si>
    <t>15*25*1.2T</t>
  </si>
  <si>
    <t>15*40*1.2T</t>
  </si>
  <si>
    <t>25*100*1.2T</t>
  </si>
  <si>
    <t>25*45*1.2T</t>
  </si>
  <si>
    <t>25*75*1.2T</t>
  </si>
  <si>
    <t>9t+7.5t 코너용(대명 홍천용)</t>
  </si>
  <si>
    <t>삼지창</t>
  </si>
  <si>
    <t>8*13</t>
  </si>
  <si>
    <t>8*16</t>
  </si>
  <si>
    <t>50A</t>
  </si>
  <si>
    <t>100A</t>
  </si>
  <si>
    <t>175A</t>
  </si>
  <si>
    <t>1250*4500</t>
  </si>
  <si>
    <t>4.8*16</t>
  </si>
  <si>
    <t>25*45</t>
  </si>
  <si>
    <t>250*400(중간용)</t>
  </si>
  <si>
    <t>250*400(상하용)</t>
  </si>
  <si>
    <t>주제(15kg)</t>
  </si>
  <si>
    <t>경화제(15kg)</t>
  </si>
  <si>
    <t>G1 2.3T*50*34</t>
  </si>
  <si>
    <t>1250*2600</t>
  </si>
  <si>
    <t>W24</t>
  </si>
  <si>
    <t>W50</t>
  </si>
  <si>
    <t>100*100</t>
  </si>
  <si>
    <t>6A</t>
  </si>
  <si>
    <t>W10*T5</t>
  </si>
  <si>
    <t>20kg</t>
  </si>
  <si>
    <t>100*1.2T</t>
  </si>
  <si>
    <t>15각</t>
  </si>
  <si>
    <t>22A(코너형)L</t>
  </si>
  <si>
    <t>22A(코너형)R</t>
  </si>
  <si>
    <t>22A(사각형)L</t>
  </si>
  <si>
    <t>22A(사각형)R</t>
  </si>
  <si>
    <t>642*2052</t>
  </si>
  <si>
    <t>732*2052</t>
  </si>
  <si>
    <t>932*2107</t>
  </si>
  <si>
    <t>1000*2175(130바)</t>
  </si>
  <si>
    <t>710*2120(130바)</t>
  </si>
  <si>
    <t>800*2120(130바)</t>
  </si>
  <si>
    <t>800*2120(140바)</t>
  </si>
  <si>
    <t>CR 102M</t>
  </si>
  <si>
    <t>DC-407</t>
  </si>
  <si>
    <t>DL-301S</t>
  </si>
  <si>
    <t>CR 105M</t>
  </si>
  <si>
    <t>GFL850</t>
  </si>
  <si>
    <t>1800*2550 좌</t>
  </si>
  <si>
    <t>2050*2100 좌</t>
  </si>
  <si>
    <t>T1000</t>
  </si>
  <si>
    <t>3100</t>
  </si>
  <si>
    <t>3150</t>
  </si>
  <si>
    <t>250*400</t>
  </si>
  <si>
    <t>200*200</t>
  </si>
  <si>
    <t>300*300</t>
  </si>
  <si>
    <t>300*600</t>
  </si>
  <si>
    <t>24MM</t>
  </si>
  <si>
    <t>35MM</t>
  </si>
  <si>
    <t>50MM</t>
  </si>
  <si>
    <t>w10*5t*1.9m</t>
  </si>
  <si>
    <t>45MM</t>
  </si>
  <si>
    <t>내화채움 조인트 100A</t>
  </si>
  <si>
    <t>내화채움 조인트 50A</t>
  </si>
  <si>
    <t>오수구소켓</t>
  </si>
  <si>
    <t>1kg</t>
  </si>
  <si>
    <t>65A</t>
  </si>
  <si>
    <t>100→50</t>
  </si>
  <si>
    <t>규칙</t>
    <phoneticPr fontId="2" type="noConversion"/>
  </si>
  <si>
    <t>대분류/중분류/사양 및 규격이 정확히 일치하는 품목을 추가했을 때  견적서 생성에 반영됨</t>
    <phoneticPr fontId="2" type="noConversion"/>
  </si>
  <si>
    <t>1500*2300RA</t>
  </si>
  <si>
    <t>1500*2300RA(주약)</t>
  </si>
  <si>
    <t>1KG</t>
  </si>
  <si>
    <t>PB독립배관</t>
  </si>
  <si>
    <t>문짝(포켓도어)</t>
  </si>
  <si>
    <t>330L</t>
  </si>
  <si>
    <t>550L</t>
  </si>
  <si>
    <t>650L</t>
  </si>
  <si>
    <t>샤워 부스</t>
  </si>
  <si>
    <t>상하용</t>
  </si>
  <si>
    <t>200*200*20(일체형)</t>
  </si>
  <si>
    <t>200*200*32(절단형)</t>
  </si>
  <si>
    <t>200*100*32(절단형)</t>
  </si>
  <si>
    <t>200*100*12(절단형)</t>
  </si>
  <si>
    <t>BIO-707</t>
  </si>
  <si>
    <t>LC707</t>
  </si>
  <si>
    <t>FL-238-5DC</t>
  </si>
  <si>
    <t>ZFL-222</t>
  </si>
  <si>
    <t>PB-030-NY</t>
  </si>
  <si>
    <t>17*17*2180</t>
  </si>
  <si>
    <t>인조대리석</t>
  </si>
  <si>
    <t>세면기 벽 배수배관</t>
  </si>
  <si>
    <t>1M</t>
  </si>
  <si>
    <t>ㄱ형</t>
  </si>
  <si>
    <t>ㅡ형</t>
  </si>
  <si>
    <t>8mm*1098L</t>
  </si>
  <si>
    <t>8mm*998L</t>
  </si>
  <si>
    <t>8mm*898L</t>
  </si>
  <si>
    <t>250*100(중간용)</t>
  </si>
  <si>
    <t>50*34*2.3T</t>
  </si>
  <si>
    <t>사양 및 규격</t>
    <phoneticPr fontId="2" type="noConversion"/>
  </si>
  <si>
    <t>액세서리</t>
    <phoneticPr fontId="2" type="noConversion"/>
  </si>
  <si>
    <r>
      <rPr>
        <sz val="11"/>
        <color theme="1"/>
        <rFont val="맑은 고딕"/>
        <family val="3"/>
        <charset val="129"/>
      </rPr>
      <t>사양</t>
    </r>
    <r>
      <rPr>
        <sz val="11"/>
        <color theme="1"/>
        <rFont val="Aptos Narrow"/>
        <family val="3"/>
        <charset val="129"/>
      </rPr>
      <t xml:space="preserve"> </t>
    </r>
    <r>
      <rPr>
        <sz val="11"/>
        <color theme="1"/>
        <rFont val="맑은 고딕"/>
        <family val="3"/>
        <charset val="129"/>
      </rPr>
      <t>및</t>
    </r>
    <r>
      <rPr>
        <sz val="11"/>
        <color theme="1"/>
        <rFont val="Aptos Narrow"/>
        <family val="3"/>
        <charset val="129"/>
      </rPr>
      <t xml:space="preserve"> </t>
    </r>
    <r>
      <rPr>
        <sz val="11"/>
        <color theme="1"/>
        <rFont val="맑은 고딕"/>
        <family val="3"/>
        <charset val="129"/>
      </rPr>
      <t>규격</t>
    </r>
    <phoneticPr fontId="2" type="noConversion"/>
  </si>
  <si>
    <t>SL욕조 기초판</t>
    <phoneticPr fontId="2" type="noConversion"/>
  </si>
  <si>
    <t>욕조 SL</t>
    <phoneticPr fontId="2" type="noConversion"/>
  </si>
  <si>
    <t>400*1065*50</t>
    <phoneticPr fontId="2" type="noConversion"/>
  </si>
  <si>
    <t>자동지정항목 / 자재단가 내역</t>
    <phoneticPr fontId="2" type="noConversion"/>
  </si>
  <si>
    <r>
      <rPr>
        <sz val="11"/>
        <color theme="1"/>
        <rFont val="맑은 고딕"/>
        <family val="3"/>
        <charset val="129"/>
      </rPr>
      <t>대분류</t>
    </r>
    <r>
      <rPr>
        <sz val="11"/>
        <color theme="1"/>
        <rFont val="Aptos Narrow"/>
        <scheme val="minor"/>
      </rPr>
      <t>/</t>
    </r>
    <r>
      <rPr>
        <sz val="11"/>
        <color theme="1"/>
        <rFont val="맑은 고딕"/>
        <family val="3"/>
        <charset val="129"/>
      </rPr>
      <t>중분류</t>
    </r>
    <r>
      <rPr>
        <sz val="11"/>
        <color theme="1"/>
        <rFont val="Aptos Narrow"/>
        <scheme val="minor"/>
      </rPr>
      <t>/</t>
    </r>
    <r>
      <rPr>
        <sz val="11"/>
        <color theme="1"/>
        <rFont val="맑은 고딕"/>
        <family val="3"/>
        <charset val="129"/>
      </rPr>
      <t>사양</t>
    </r>
    <r>
      <rPr>
        <sz val="11"/>
        <color theme="1"/>
        <rFont val="Aptos Narrow"/>
        <scheme val="minor"/>
      </rPr>
      <t xml:space="preserve"> </t>
    </r>
    <r>
      <rPr>
        <sz val="11"/>
        <color theme="1"/>
        <rFont val="맑은 고딕"/>
        <family val="3"/>
        <charset val="129"/>
      </rPr>
      <t>및</t>
    </r>
    <r>
      <rPr>
        <sz val="11"/>
        <color theme="1"/>
        <rFont val="Aptos Narrow"/>
        <scheme val="minor"/>
      </rPr>
      <t xml:space="preserve"> </t>
    </r>
    <r>
      <rPr>
        <sz val="11"/>
        <color theme="1"/>
        <rFont val="맑은 고딕"/>
        <family val="3"/>
        <charset val="129"/>
      </rPr>
      <t>규격이</t>
    </r>
    <r>
      <rPr>
        <sz val="11"/>
        <color theme="1"/>
        <rFont val="Aptos Narrow"/>
        <scheme val="minor"/>
      </rPr>
      <t xml:space="preserve"> </t>
    </r>
    <r>
      <rPr>
        <sz val="11"/>
        <color theme="1"/>
        <rFont val="맑은 고딕"/>
        <family val="3"/>
        <charset val="129"/>
      </rPr>
      <t>정확히</t>
    </r>
    <r>
      <rPr>
        <sz val="11"/>
        <color theme="1"/>
        <rFont val="Aptos Narrow"/>
        <scheme val="minor"/>
      </rPr>
      <t xml:space="preserve"> </t>
    </r>
    <r>
      <rPr>
        <sz val="11"/>
        <color theme="1"/>
        <rFont val="맑은 고딕"/>
        <family val="3"/>
        <charset val="129"/>
      </rPr>
      <t>일치하는</t>
    </r>
    <r>
      <rPr>
        <sz val="11"/>
        <color theme="1"/>
        <rFont val="Aptos Narrow"/>
        <scheme val="minor"/>
      </rPr>
      <t xml:space="preserve"> </t>
    </r>
    <r>
      <rPr>
        <sz val="11"/>
        <color theme="1"/>
        <rFont val="맑은 고딕"/>
        <family val="3"/>
        <charset val="129"/>
      </rPr>
      <t>품목을</t>
    </r>
    <r>
      <rPr>
        <sz val="11"/>
        <color theme="1"/>
        <rFont val="Aptos Narrow"/>
        <scheme val="minor"/>
      </rPr>
      <t xml:space="preserve"> </t>
    </r>
    <r>
      <rPr>
        <sz val="11"/>
        <color theme="1"/>
        <rFont val="맑은 고딕"/>
        <family val="3"/>
        <charset val="129"/>
      </rPr>
      <t>추가했을</t>
    </r>
    <r>
      <rPr>
        <sz val="11"/>
        <color theme="1"/>
        <rFont val="Aptos Narrow"/>
        <scheme val="minor"/>
      </rPr>
      <t xml:space="preserve"> </t>
    </r>
    <r>
      <rPr>
        <sz val="11"/>
        <color theme="1"/>
        <rFont val="맑은 고딕"/>
        <family val="3"/>
        <charset val="129"/>
      </rPr>
      <t>때</t>
    </r>
    <r>
      <rPr>
        <sz val="11"/>
        <color theme="1"/>
        <rFont val="Aptos Narrow"/>
        <scheme val="minor"/>
      </rPr>
      <t xml:space="preserve">  </t>
    </r>
    <r>
      <rPr>
        <sz val="11"/>
        <color theme="1"/>
        <rFont val="맑은 고딕"/>
        <family val="3"/>
        <charset val="129"/>
      </rPr>
      <t>견적서</t>
    </r>
    <r>
      <rPr>
        <sz val="11"/>
        <color theme="1"/>
        <rFont val="Aptos Narrow"/>
        <scheme val="minor"/>
      </rPr>
      <t xml:space="preserve"> </t>
    </r>
    <r>
      <rPr>
        <sz val="11"/>
        <color theme="1"/>
        <rFont val="맑은 고딕"/>
        <family val="3"/>
        <charset val="129"/>
      </rPr>
      <t>생성에</t>
    </r>
    <r>
      <rPr>
        <sz val="11"/>
        <color theme="1"/>
        <rFont val="Aptos Narrow"/>
        <scheme val="minor"/>
      </rPr>
      <t xml:space="preserve"> </t>
    </r>
    <r>
      <rPr>
        <sz val="11"/>
        <color theme="1"/>
        <rFont val="맑은 고딕"/>
        <family val="3"/>
        <charset val="129"/>
      </rPr>
      <t>반영됨</t>
    </r>
    <phoneticPr fontId="2" type="noConversion"/>
  </si>
  <si>
    <t>자동지정항목 시트와 자재단가 내역의 대분류/중분류/사양 및 규격이 일치해야 탐지 가능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</si>
</sst>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0_);[Red]\(#,##0\)"/>
    <numFmt numFmtId="177" formatCode="#,##0_ "/>
  </numFmts>
  <fonts count="14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3"/>
      <charset val="129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3"/>
      <charset val="129"/>
      <scheme val="minor"/>
    </font>
    <font>
      <sz val="11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0"/>
      <color theme="1"/>
      <name val="Arial Unicode MS"/>
      <family val="2"/>
    </font>
    <font>
      <sz val="11"/>
      <color theme="1"/>
      <name val="Aptos Narrow"/>
      <family val="2"/>
      <scheme val="minor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333333"/>
      <name val="Noto Sans KR"/>
      <family val="3"/>
    </font>
    <font>
      <sz val="11"/>
      <color theme="1"/>
      <name val="Aptos Narrow"/>
      <family val="3"/>
      <charset val="129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41" fontId="8" fillId="0" borderId="0" applyFont="0" applyFill="0" applyBorder="0" applyAlignment="0" applyProtection="0">
      <alignment vertical="center"/>
    </xf>
  </cellStyleXfs>
  <cellXfs count="44">
    <xf numFmtId="0" fontId="0" fillId="0" borderId="0" xfId="0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6" fillId="3" borderId="0" xfId="0" applyFont="1" applyFill="1" applyAlignment="1">
      <alignment vertical="center"/>
    </xf>
    <xf numFmtId="0" fontId="0" fillId="3" borderId="0" xfId="0" applyFill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3" fontId="5" fillId="0" borderId="0" xfId="0" applyNumberFormat="1" applyFont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3" fontId="5" fillId="2" borderId="1" xfId="0" applyNumberFormat="1" applyFont="1" applyFill="1" applyBorder="1" applyAlignment="1">
      <alignment horizontal="center" vertical="center"/>
    </xf>
    <xf numFmtId="3" fontId="5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right" vertical="center"/>
    </xf>
    <xf numFmtId="176" fontId="5" fillId="0" borderId="0" xfId="0" applyNumberFormat="1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3" fontId="5" fillId="3" borderId="0" xfId="0" applyNumberFormat="1" applyFont="1" applyFill="1" applyAlignment="1">
      <alignment horizontal="center" vertical="center"/>
    </xf>
    <xf numFmtId="3" fontId="5" fillId="3" borderId="0" xfId="0" applyNumberFormat="1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shrinkToFit="1"/>
    </xf>
    <xf numFmtId="177" fontId="5" fillId="0" borderId="0" xfId="0" applyNumberFormat="1" applyFont="1" applyAlignment="1">
      <alignment horizontal="center" vertical="center"/>
    </xf>
    <xf numFmtId="41" fontId="5" fillId="0" borderId="0" xfId="1" applyFont="1" applyAlignment="1">
      <alignment vertical="center"/>
    </xf>
    <xf numFmtId="176" fontId="5" fillId="0" borderId="0" xfId="1" applyNumberFormat="1" applyFont="1" applyAlignment="1">
      <alignment horizontal="center" vertical="center"/>
    </xf>
    <xf numFmtId="0" fontId="9" fillId="0" borderId="2" xfId="0" applyFont="1" applyBorder="1" applyAlignment="1">
      <alignment horizontal="center" vertical="top"/>
    </xf>
    <xf numFmtId="177" fontId="10" fillId="0" borderId="0" xfId="0" applyNumberFormat="1" applyFont="1" applyAlignment="1">
      <alignment horizontal="center" vertical="center"/>
    </xf>
    <xf numFmtId="3" fontId="5" fillId="0" borderId="0" xfId="0" applyNumberFormat="1" applyFont="1" applyAlignment="1">
      <alignment vertical="center"/>
    </xf>
    <xf numFmtId="41" fontId="10" fillId="0" borderId="0" xfId="1" applyFont="1" applyAlignment="1"/>
    <xf numFmtId="41" fontId="5" fillId="0" borderId="0" xfId="1" applyFont="1" applyAlignment="1">
      <alignment horizontal="center" vertical="center"/>
    </xf>
    <xf numFmtId="176" fontId="5" fillId="3" borderId="0" xfId="0" applyNumberFormat="1" applyFont="1" applyFill="1" applyAlignment="1">
      <alignment horizontal="center" vertical="center"/>
    </xf>
    <xf numFmtId="176" fontId="5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11" fillId="5" borderId="3" xfId="0" applyFont="1" applyFill="1" applyBorder="1" applyAlignment="1">
      <alignment horizontal="left" vertical="center"/>
    </xf>
    <xf numFmtId="41" fontId="5" fillId="5" borderId="0" xfId="1" applyFont="1" applyFill="1" applyAlignment="1">
      <alignment vertical="center"/>
    </xf>
    <xf numFmtId="0" fontId="4" fillId="0" borderId="0" xfId="0" applyFont="1" applyAlignment="1">
      <alignment vertical="center"/>
    </xf>
    <xf numFmtId="0" fontId="13" fillId="3" borderId="0" xfId="0" applyFont="1" applyFill="1" applyAlignment="1">
      <alignment horizontal="left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36"/>
  <sheetViews>
    <sheetView workbookViewId="0">
      <selection activeCell="K7" sqref="K7"/>
    </sheetView>
  </sheetViews>
  <sheetFormatPr defaultColWidth="12.5703125" defaultRowHeight="21.95" customHeight="1"/>
  <cols>
    <col min="1" max="1" width="10.5703125" style="11" customWidth="1"/>
    <col min="2" max="4" width="9.42578125" style="11" customWidth="1"/>
    <col min="5" max="5" width="11.28515625" style="11" customWidth="1"/>
    <col min="6" max="8" width="10.5703125" style="11" customWidth="1"/>
    <col min="9" max="9" width="11.28515625" style="11" customWidth="1"/>
    <col min="10" max="10" width="10.5703125" style="11" customWidth="1"/>
    <col min="11" max="11" width="18" style="11" customWidth="1"/>
    <col min="12" max="12" width="18.140625" style="11" customWidth="1"/>
    <col min="13" max="13" width="21.140625" style="11" customWidth="1"/>
    <col min="14" max="14" width="14.28515625" style="11" customWidth="1"/>
    <col min="15" max="28" width="7.5703125" style="11" customWidth="1"/>
    <col min="29" max="16384" width="12.5703125" style="11"/>
  </cols>
  <sheetData>
    <row r="1" spans="1:19" ht="42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171</v>
      </c>
      <c r="L1" s="5" t="s">
        <v>11</v>
      </c>
      <c r="M1" s="5" t="s">
        <v>12</v>
      </c>
      <c r="N1" s="10" t="s">
        <v>13</v>
      </c>
      <c r="O1" s="10"/>
      <c r="P1" s="10"/>
      <c r="Q1" s="10"/>
      <c r="R1" s="10"/>
      <c r="S1" s="10"/>
    </row>
    <row r="2" spans="1:19" ht="21.95" customHeight="1">
      <c r="A2" s="11" t="s">
        <v>14</v>
      </c>
      <c r="B2" s="11" t="s">
        <v>15</v>
      </c>
      <c r="C2" s="11" t="s">
        <v>16</v>
      </c>
      <c r="D2" s="11" t="s">
        <v>17</v>
      </c>
      <c r="E2" s="11" t="s">
        <v>18</v>
      </c>
      <c r="F2" s="11">
        <v>1300</v>
      </c>
      <c r="G2" s="11">
        <v>1900</v>
      </c>
      <c r="H2" s="11">
        <v>1300</v>
      </c>
      <c r="I2" s="11">
        <v>1300</v>
      </c>
      <c r="J2" s="11">
        <v>850</v>
      </c>
      <c r="K2" s="11">
        <v>600</v>
      </c>
      <c r="L2" s="12">
        <f>바닥판단가!G2</f>
        <v>51610</v>
      </c>
      <c r="M2" s="12">
        <f>바닥판단가!G15</f>
        <v>20666</v>
      </c>
      <c r="N2" s="13">
        <f>바닥판단가!G2 + 바닥판단가!G15</f>
        <v>72276</v>
      </c>
      <c r="P2" s="5"/>
      <c r="Q2" s="13"/>
      <c r="R2" s="13"/>
      <c r="S2" s="13"/>
    </row>
    <row r="3" spans="1:19" ht="21.95" customHeight="1">
      <c r="A3" s="11" t="s">
        <v>14</v>
      </c>
      <c r="B3" s="11" t="s">
        <v>15</v>
      </c>
      <c r="C3" s="11" t="s">
        <v>16</v>
      </c>
      <c r="D3" s="11" t="s">
        <v>17</v>
      </c>
      <c r="E3" s="11" t="s">
        <v>18</v>
      </c>
      <c r="F3" s="11">
        <v>1300</v>
      </c>
      <c r="G3" s="11">
        <v>1900</v>
      </c>
      <c r="H3" s="11">
        <v>1300</v>
      </c>
      <c r="I3" s="11">
        <v>1300</v>
      </c>
      <c r="J3" s="11">
        <v>900</v>
      </c>
      <c r="K3" s="11">
        <v>600</v>
      </c>
      <c r="L3" s="12">
        <f>바닥판단가!G2</f>
        <v>51610</v>
      </c>
      <c r="M3" s="12">
        <f>바닥판단가!G16</f>
        <v>21190</v>
      </c>
      <c r="N3" s="13">
        <f>바닥판단가!G2 + 바닥판단가!G16</f>
        <v>72800</v>
      </c>
      <c r="P3" s="5"/>
      <c r="Q3" s="13"/>
      <c r="R3" s="13"/>
      <c r="S3" s="13"/>
    </row>
    <row r="4" spans="1:19" ht="21.95" customHeight="1">
      <c r="A4" s="11" t="s">
        <v>14</v>
      </c>
      <c r="B4" s="11" t="s">
        <v>15</v>
      </c>
      <c r="C4" s="11" t="s">
        <v>16</v>
      </c>
      <c r="D4" s="11" t="s">
        <v>17</v>
      </c>
      <c r="E4" s="11" t="s">
        <v>18</v>
      </c>
      <c r="F4" s="11">
        <v>1300</v>
      </c>
      <c r="G4" s="11">
        <v>2000</v>
      </c>
      <c r="H4" s="11">
        <v>1300</v>
      </c>
      <c r="I4" s="11">
        <v>1300</v>
      </c>
      <c r="J4" s="11">
        <v>900</v>
      </c>
      <c r="K4" s="11">
        <v>700</v>
      </c>
      <c r="L4" s="12">
        <f>바닥판단가!G2</f>
        <v>51610</v>
      </c>
      <c r="M4" s="12">
        <f>바닥판단가!G17</f>
        <v>22342</v>
      </c>
      <c r="N4" s="13">
        <f>바닥판단가!G2 + 바닥판단가!G17</f>
        <v>73952</v>
      </c>
      <c r="P4" s="5"/>
      <c r="Q4" s="13"/>
      <c r="R4" s="13"/>
      <c r="S4" s="13"/>
    </row>
    <row r="5" spans="1:19" ht="21.95" customHeight="1">
      <c r="A5" s="11" t="s">
        <v>14</v>
      </c>
      <c r="B5" s="11" t="s">
        <v>15</v>
      </c>
      <c r="C5" s="11" t="s">
        <v>16</v>
      </c>
      <c r="D5" s="11" t="s">
        <v>17</v>
      </c>
      <c r="E5" s="11" t="s">
        <v>18</v>
      </c>
      <c r="F5" s="11">
        <v>1300</v>
      </c>
      <c r="G5" s="11">
        <v>2000</v>
      </c>
      <c r="H5" s="11">
        <v>1300</v>
      </c>
      <c r="I5" s="11">
        <v>1400</v>
      </c>
      <c r="J5" s="11">
        <v>850</v>
      </c>
      <c r="K5" s="11">
        <v>600</v>
      </c>
      <c r="L5" s="12">
        <f>바닥판단가!G3</f>
        <v>53600</v>
      </c>
      <c r="M5" s="12">
        <f>바닥판단가!G15</f>
        <v>20666</v>
      </c>
      <c r="N5" s="13">
        <f>바닥판단가!G3 + 바닥판단가!G15</f>
        <v>74266</v>
      </c>
      <c r="P5" s="5"/>
      <c r="Q5" s="13"/>
      <c r="R5" s="13"/>
      <c r="S5" s="13"/>
    </row>
    <row r="6" spans="1:19" ht="21.95" customHeight="1">
      <c r="A6" s="11" t="s">
        <v>14</v>
      </c>
      <c r="B6" s="11" t="s">
        <v>15</v>
      </c>
      <c r="C6" s="11" t="s">
        <v>16</v>
      </c>
      <c r="D6" s="11" t="s">
        <v>17</v>
      </c>
      <c r="E6" s="11" t="s">
        <v>18</v>
      </c>
      <c r="F6" s="11">
        <v>1300</v>
      </c>
      <c r="G6" s="11">
        <v>2000</v>
      </c>
      <c r="H6" s="11">
        <v>1300</v>
      </c>
      <c r="I6" s="11">
        <v>1400</v>
      </c>
      <c r="J6" s="11">
        <v>900</v>
      </c>
      <c r="K6" s="11">
        <v>600</v>
      </c>
      <c r="L6" s="12">
        <f>바닥판단가!G3</f>
        <v>53600</v>
      </c>
      <c r="M6" s="12">
        <f>바닥판단가!G16</f>
        <v>21190</v>
      </c>
      <c r="N6" s="13">
        <f>바닥판단가!G3 + 바닥판단가!G16</f>
        <v>74790</v>
      </c>
      <c r="P6" s="5"/>
      <c r="Q6" s="13"/>
      <c r="R6" s="13"/>
      <c r="S6" s="13"/>
    </row>
    <row r="7" spans="1:19" ht="21.95" customHeight="1">
      <c r="A7" s="11" t="s">
        <v>14</v>
      </c>
      <c r="B7" s="11" t="s">
        <v>15</v>
      </c>
      <c r="C7" s="11" t="s">
        <v>16</v>
      </c>
      <c r="D7" s="11" t="s">
        <v>17</v>
      </c>
      <c r="E7" s="11" t="s">
        <v>18</v>
      </c>
      <c r="F7" s="11">
        <v>1300</v>
      </c>
      <c r="G7" s="11">
        <v>2100</v>
      </c>
      <c r="H7" s="11">
        <v>1300</v>
      </c>
      <c r="I7" s="11">
        <v>1300</v>
      </c>
      <c r="J7" s="11">
        <v>900</v>
      </c>
      <c r="K7" s="11">
        <v>800</v>
      </c>
      <c r="L7" s="12">
        <f>바닥판단가!G2</f>
        <v>51610</v>
      </c>
      <c r="M7" s="12">
        <f>바닥판단가!G18</f>
        <v>23494</v>
      </c>
      <c r="N7" s="13">
        <f>바닥판단가!G2 + 바닥판단가!G18</f>
        <v>75104</v>
      </c>
      <c r="P7" s="5"/>
      <c r="Q7" s="13"/>
      <c r="R7" s="13"/>
      <c r="S7" s="13"/>
    </row>
    <row r="8" spans="1:19" ht="21.95" customHeight="1">
      <c r="A8" s="11" t="s">
        <v>14</v>
      </c>
      <c r="B8" s="11" t="s">
        <v>15</v>
      </c>
      <c r="C8" s="11" t="s">
        <v>16</v>
      </c>
      <c r="D8" s="11" t="s">
        <v>17</v>
      </c>
      <c r="E8" s="11" t="s">
        <v>18</v>
      </c>
      <c r="F8" s="11">
        <v>1300</v>
      </c>
      <c r="G8" s="11">
        <v>2100</v>
      </c>
      <c r="H8" s="11">
        <v>1300</v>
      </c>
      <c r="I8" s="11">
        <v>1400</v>
      </c>
      <c r="J8" s="11">
        <v>900</v>
      </c>
      <c r="K8" s="11">
        <v>700</v>
      </c>
      <c r="L8" s="12">
        <f>바닥판단가!G3</f>
        <v>53600</v>
      </c>
      <c r="M8" s="12">
        <f>바닥판단가!G17</f>
        <v>22342</v>
      </c>
      <c r="N8" s="13">
        <f>바닥판단가!G3 + 바닥판단가!G17</f>
        <v>75942</v>
      </c>
      <c r="P8" s="5"/>
      <c r="Q8" s="13"/>
      <c r="R8" s="13"/>
      <c r="S8" s="13"/>
    </row>
    <row r="9" spans="1:19" ht="21.95" customHeight="1">
      <c r="A9" s="11" t="s">
        <v>14</v>
      </c>
      <c r="B9" s="11" t="s">
        <v>15</v>
      </c>
      <c r="C9" s="11" t="s">
        <v>16</v>
      </c>
      <c r="D9" s="11" t="s">
        <v>17</v>
      </c>
      <c r="E9" s="11" t="s">
        <v>18</v>
      </c>
      <c r="F9" s="11">
        <v>1300</v>
      </c>
      <c r="G9" s="11">
        <v>2100</v>
      </c>
      <c r="H9" s="11">
        <v>1300</v>
      </c>
      <c r="I9" s="11">
        <v>1500</v>
      </c>
      <c r="J9" s="11">
        <v>850</v>
      </c>
      <c r="K9" s="11">
        <v>600</v>
      </c>
      <c r="L9" s="12">
        <f>바닥판단가!G4</f>
        <v>55485</v>
      </c>
      <c r="M9" s="12">
        <f>바닥판단가!G15</f>
        <v>20666</v>
      </c>
      <c r="N9" s="13">
        <f>바닥판단가!G4 + 바닥판단가!G15</f>
        <v>76151</v>
      </c>
      <c r="P9" s="5"/>
      <c r="Q9" s="13"/>
      <c r="R9" s="13"/>
      <c r="S9" s="13"/>
    </row>
    <row r="10" spans="1:19" ht="21.95" customHeight="1">
      <c r="A10" s="11" t="s">
        <v>14</v>
      </c>
      <c r="B10" s="11" t="s">
        <v>15</v>
      </c>
      <c r="C10" s="11" t="s">
        <v>16</v>
      </c>
      <c r="D10" s="11" t="s">
        <v>17</v>
      </c>
      <c r="E10" s="11" t="s">
        <v>18</v>
      </c>
      <c r="F10" s="11">
        <v>1300</v>
      </c>
      <c r="G10" s="11">
        <v>2100</v>
      </c>
      <c r="H10" s="11">
        <v>1300</v>
      </c>
      <c r="I10" s="11">
        <v>1500</v>
      </c>
      <c r="J10" s="11">
        <v>900</v>
      </c>
      <c r="K10" s="11">
        <v>600</v>
      </c>
      <c r="L10" s="12">
        <f>바닥판단가!G4</f>
        <v>55485</v>
      </c>
      <c r="M10" s="12">
        <f>바닥판단가!G16</f>
        <v>21190</v>
      </c>
      <c r="N10" s="13">
        <f>바닥판단가!G4 + 바닥판단가!G16</f>
        <v>76675</v>
      </c>
      <c r="P10" s="5"/>
      <c r="Q10" s="13"/>
      <c r="R10" s="13"/>
      <c r="S10" s="13"/>
    </row>
    <row r="11" spans="1:19" ht="21.95" customHeight="1">
      <c r="A11" s="11" t="s">
        <v>14</v>
      </c>
      <c r="B11" s="11" t="s">
        <v>15</v>
      </c>
      <c r="C11" s="11" t="s">
        <v>16</v>
      </c>
      <c r="D11" s="11" t="s">
        <v>17</v>
      </c>
      <c r="E11" s="11" t="s">
        <v>18</v>
      </c>
      <c r="F11" s="11">
        <v>1300</v>
      </c>
      <c r="G11" s="11">
        <v>2200</v>
      </c>
      <c r="H11" s="11">
        <v>1300</v>
      </c>
      <c r="I11" s="11">
        <v>1300</v>
      </c>
      <c r="J11" s="11">
        <v>900</v>
      </c>
      <c r="K11" s="11">
        <v>900</v>
      </c>
      <c r="L11" s="12">
        <f>바닥판단가!G2</f>
        <v>51610</v>
      </c>
      <c r="M11" s="12">
        <f>바닥판단가!G19</f>
        <v>25066</v>
      </c>
      <c r="N11" s="13">
        <f>바닥판단가!G2 + 바닥판단가!G19</f>
        <v>76676</v>
      </c>
      <c r="P11" s="5"/>
      <c r="Q11" s="13"/>
      <c r="R11" s="13"/>
      <c r="S11" s="13"/>
    </row>
    <row r="12" spans="1:19" ht="21.95" customHeight="1">
      <c r="A12" s="11" t="s">
        <v>14</v>
      </c>
      <c r="B12" s="11" t="s">
        <v>15</v>
      </c>
      <c r="C12" s="11" t="s">
        <v>16</v>
      </c>
      <c r="D12" s="11" t="s">
        <v>17</v>
      </c>
      <c r="E12" s="11" t="s">
        <v>18</v>
      </c>
      <c r="F12" s="11">
        <v>1300</v>
      </c>
      <c r="G12" s="11">
        <v>2200</v>
      </c>
      <c r="H12" s="11">
        <v>1300</v>
      </c>
      <c r="I12" s="11">
        <v>1300</v>
      </c>
      <c r="J12" s="11">
        <v>1000</v>
      </c>
      <c r="K12" s="11">
        <v>900</v>
      </c>
      <c r="L12" s="12">
        <f>바닥판단가!G2</f>
        <v>51610</v>
      </c>
      <c r="M12" s="12">
        <f>바닥판단가!G21</f>
        <v>27161</v>
      </c>
      <c r="N12" s="13">
        <f>바닥판단가!G2 + 바닥판단가!G21</f>
        <v>78771</v>
      </c>
      <c r="P12" s="5"/>
      <c r="Q12" s="13"/>
      <c r="R12" s="13"/>
      <c r="S12" s="13"/>
    </row>
    <row r="13" spans="1:19" ht="21.95" customHeight="1">
      <c r="A13" s="11" t="s">
        <v>14</v>
      </c>
      <c r="B13" s="11" t="s">
        <v>15</v>
      </c>
      <c r="C13" s="11" t="s">
        <v>16</v>
      </c>
      <c r="D13" s="11" t="s">
        <v>17</v>
      </c>
      <c r="E13" s="11" t="s">
        <v>18</v>
      </c>
      <c r="F13" s="11">
        <v>1300</v>
      </c>
      <c r="G13" s="11">
        <v>2200</v>
      </c>
      <c r="H13" s="11">
        <v>1300</v>
      </c>
      <c r="I13" s="11">
        <v>1400</v>
      </c>
      <c r="J13" s="11">
        <v>900</v>
      </c>
      <c r="K13" s="11">
        <v>800</v>
      </c>
      <c r="L13" s="12">
        <f>바닥판단가!G3</f>
        <v>53600</v>
      </c>
      <c r="M13" s="12">
        <f>바닥판단가!G18</f>
        <v>23494</v>
      </c>
      <c r="N13" s="13">
        <f>바닥판단가!G3 + 바닥판단가!G18</f>
        <v>77094</v>
      </c>
      <c r="P13" s="5"/>
      <c r="Q13" s="13"/>
      <c r="R13" s="13"/>
      <c r="S13" s="13"/>
    </row>
    <row r="14" spans="1:19" ht="21.95" customHeight="1">
      <c r="A14" s="11" t="s">
        <v>14</v>
      </c>
      <c r="B14" s="11" t="s">
        <v>15</v>
      </c>
      <c r="C14" s="11" t="s">
        <v>16</v>
      </c>
      <c r="D14" s="11" t="s">
        <v>17</v>
      </c>
      <c r="E14" s="11" t="s">
        <v>18</v>
      </c>
      <c r="F14" s="11">
        <v>1300</v>
      </c>
      <c r="G14" s="11">
        <v>2200</v>
      </c>
      <c r="H14" s="11">
        <v>1300</v>
      </c>
      <c r="I14" s="11">
        <v>1500</v>
      </c>
      <c r="J14" s="11">
        <v>900</v>
      </c>
      <c r="K14" s="11">
        <v>700</v>
      </c>
      <c r="L14" s="12">
        <f>바닥판단가!G4</f>
        <v>55485</v>
      </c>
      <c r="M14" s="12">
        <f>바닥판단가!G17</f>
        <v>22342</v>
      </c>
      <c r="N14" s="13">
        <f>바닥판단가!G4 + 바닥판단가!G17</f>
        <v>77827</v>
      </c>
      <c r="P14" s="5"/>
      <c r="Q14" s="13"/>
      <c r="R14" s="13"/>
      <c r="S14" s="13"/>
    </row>
    <row r="15" spans="1:19" ht="21.95" customHeight="1">
      <c r="A15" s="11" t="s">
        <v>14</v>
      </c>
      <c r="B15" s="11" t="s">
        <v>15</v>
      </c>
      <c r="C15" s="11" t="s">
        <v>16</v>
      </c>
      <c r="D15" s="11" t="s">
        <v>17</v>
      </c>
      <c r="E15" s="11" t="s">
        <v>18</v>
      </c>
      <c r="F15" s="11">
        <v>1300</v>
      </c>
      <c r="G15" s="11">
        <v>2200</v>
      </c>
      <c r="H15" s="11">
        <v>1300</v>
      </c>
      <c r="I15" s="11">
        <v>1600</v>
      </c>
      <c r="J15" s="11">
        <v>850</v>
      </c>
      <c r="K15" s="11">
        <v>600</v>
      </c>
      <c r="L15" s="12">
        <f>바닥판단가!G5</f>
        <v>57790</v>
      </c>
      <c r="M15" s="12">
        <f>바닥판단가!G15</f>
        <v>20666</v>
      </c>
      <c r="N15" s="13">
        <f>바닥판단가!G5 + 바닥판단가!G15</f>
        <v>78456</v>
      </c>
      <c r="P15" s="5"/>
      <c r="Q15" s="13"/>
      <c r="R15" s="13"/>
      <c r="S15" s="13"/>
    </row>
    <row r="16" spans="1:19" ht="21.95" customHeight="1">
      <c r="A16" s="11" t="s">
        <v>14</v>
      </c>
      <c r="B16" s="11" t="s">
        <v>15</v>
      </c>
      <c r="C16" s="11" t="s">
        <v>16</v>
      </c>
      <c r="D16" s="11" t="s">
        <v>17</v>
      </c>
      <c r="E16" s="11" t="s">
        <v>18</v>
      </c>
      <c r="F16" s="11">
        <v>1300</v>
      </c>
      <c r="G16" s="11">
        <v>2200</v>
      </c>
      <c r="H16" s="11">
        <v>1300</v>
      </c>
      <c r="I16" s="11">
        <v>1600</v>
      </c>
      <c r="J16" s="11">
        <v>900</v>
      </c>
      <c r="K16" s="11">
        <v>600</v>
      </c>
      <c r="L16" s="12">
        <f>바닥판단가!G5</f>
        <v>57790</v>
      </c>
      <c r="M16" s="12">
        <f>바닥판단가!G16</f>
        <v>21190</v>
      </c>
      <c r="N16" s="13">
        <f>바닥판단가!G5 + 바닥판단가!G16</f>
        <v>78980</v>
      </c>
      <c r="P16" s="5"/>
      <c r="Q16" s="13"/>
      <c r="R16" s="13"/>
      <c r="S16" s="13"/>
    </row>
    <row r="17" spans="1:19" ht="21.95" customHeight="1">
      <c r="A17" s="11" t="s">
        <v>14</v>
      </c>
      <c r="B17" s="11" t="s">
        <v>15</v>
      </c>
      <c r="C17" s="11" t="s">
        <v>16</v>
      </c>
      <c r="D17" s="11" t="s">
        <v>17</v>
      </c>
      <c r="E17" s="11" t="s">
        <v>18</v>
      </c>
      <c r="F17" s="11">
        <v>1300</v>
      </c>
      <c r="G17" s="11">
        <v>2300</v>
      </c>
      <c r="H17" s="11">
        <v>1300</v>
      </c>
      <c r="I17" s="11">
        <v>1300</v>
      </c>
      <c r="J17" s="11">
        <v>1000</v>
      </c>
      <c r="K17" s="11">
        <v>1000</v>
      </c>
      <c r="L17" s="12">
        <f>바닥판단가!G2</f>
        <v>51610</v>
      </c>
      <c r="M17" s="12">
        <f>바닥판단가!G22</f>
        <v>29256</v>
      </c>
      <c r="N17" s="13">
        <f>바닥판단가!G2 + 바닥판단가!G22</f>
        <v>80866</v>
      </c>
      <c r="P17" s="5"/>
      <c r="Q17" s="13"/>
      <c r="R17" s="13"/>
      <c r="S17" s="13"/>
    </row>
    <row r="18" spans="1:19" ht="21.95" customHeight="1">
      <c r="A18" s="11" t="s">
        <v>14</v>
      </c>
      <c r="B18" s="11" t="s">
        <v>15</v>
      </c>
      <c r="C18" s="11" t="s">
        <v>16</v>
      </c>
      <c r="D18" s="11" t="s">
        <v>17</v>
      </c>
      <c r="E18" s="11" t="s">
        <v>18</v>
      </c>
      <c r="F18" s="11">
        <v>1300</v>
      </c>
      <c r="G18" s="11">
        <v>2300</v>
      </c>
      <c r="H18" s="11">
        <v>1300</v>
      </c>
      <c r="I18" s="11">
        <v>1400</v>
      </c>
      <c r="J18" s="11">
        <v>900</v>
      </c>
      <c r="K18" s="11">
        <v>900</v>
      </c>
      <c r="L18" s="12">
        <f>바닥판단가!G3</f>
        <v>53600</v>
      </c>
      <c r="M18" s="12">
        <f>바닥판단가!G19</f>
        <v>25066</v>
      </c>
      <c r="N18" s="13">
        <f>바닥판단가!G3 + 바닥판단가!G19</f>
        <v>78666</v>
      </c>
      <c r="P18" s="5"/>
      <c r="Q18" s="13"/>
      <c r="R18" s="13"/>
      <c r="S18" s="13"/>
    </row>
    <row r="19" spans="1:19" ht="21.95" customHeight="1">
      <c r="A19" s="11" t="s">
        <v>14</v>
      </c>
      <c r="B19" s="11" t="s">
        <v>15</v>
      </c>
      <c r="C19" s="11" t="s">
        <v>16</v>
      </c>
      <c r="D19" s="11" t="s">
        <v>17</v>
      </c>
      <c r="E19" s="11" t="s">
        <v>18</v>
      </c>
      <c r="F19" s="11">
        <v>1300</v>
      </c>
      <c r="G19" s="11">
        <v>2300</v>
      </c>
      <c r="H19" s="11">
        <v>1300</v>
      </c>
      <c r="I19" s="11">
        <v>1400</v>
      </c>
      <c r="J19" s="11">
        <v>1000</v>
      </c>
      <c r="K19" s="11">
        <v>900</v>
      </c>
      <c r="L19" s="12">
        <f>바닥판단가!G3</f>
        <v>53600</v>
      </c>
      <c r="M19" s="12">
        <f>바닥판단가!G21</f>
        <v>27161</v>
      </c>
      <c r="N19" s="13">
        <f>바닥판단가!G3 + 바닥판단가!G21</f>
        <v>80761</v>
      </c>
      <c r="P19" s="5"/>
      <c r="Q19" s="13"/>
      <c r="R19" s="13"/>
      <c r="S19" s="13"/>
    </row>
    <row r="20" spans="1:19" ht="21.95" customHeight="1">
      <c r="A20" s="11" t="s">
        <v>14</v>
      </c>
      <c r="B20" s="11" t="s">
        <v>15</v>
      </c>
      <c r="C20" s="11" t="s">
        <v>16</v>
      </c>
      <c r="D20" s="11" t="s">
        <v>17</v>
      </c>
      <c r="E20" s="11" t="s">
        <v>18</v>
      </c>
      <c r="F20" s="11">
        <v>1300</v>
      </c>
      <c r="G20" s="11">
        <v>2300</v>
      </c>
      <c r="H20" s="11">
        <v>1300</v>
      </c>
      <c r="I20" s="11">
        <v>1500</v>
      </c>
      <c r="J20" s="11">
        <v>900</v>
      </c>
      <c r="K20" s="11">
        <v>800</v>
      </c>
      <c r="L20" s="12">
        <f>바닥판단가!G4</f>
        <v>55485</v>
      </c>
      <c r="M20" s="12">
        <f>바닥판단가!G18</f>
        <v>23494</v>
      </c>
      <c r="N20" s="13">
        <f>바닥판단가!G4 + 바닥판단가!G18</f>
        <v>78979</v>
      </c>
      <c r="P20" s="5"/>
      <c r="Q20" s="13"/>
      <c r="R20" s="13"/>
      <c r="S20" s="13"/>
    </row>
    <row r="21" spans="1:19" ht="21.95" customHeight="1">
      <c r="A21" s="11" t="s">
        <v>14</v>
      </c>
      <c r="B21" s="11" t="s">
        <v>15</v>
      </c>
      <c r="C21" s="11" t="s">
        <v>16</v>
      </c>
      <c r="D21" s="11" t="s">
        <v>17</v>
      </c>
      <c r="E21" s="11" t="s">
        <v>18</v>
      </c>
      <c r="F21" s="11">
        <v>1300</v>
      </c>
      <c r="G21" s="11">
        <v>2300</v>
      </c>
      <c r="H21" s="11">
        <v>1300</v>
      </c>
      <c r="I21" s="11">
        <v>1600</v>
      </c>
      <c r="J21" s="11">
        <v>900</v>
      </c>
      <c r="K21" s="11">
        <v>700</v>
      </c>
      <c r="L21" s="12">
        <f>바닥판단가!G5</f>
        <v>57790</v>
      </c>
      <c r="M21" s="12">
        <f>바닥판단가!G17</f>
        <v>22342</v>
      </c>
      <c r="N21" s="13">
        <f>바닥판단가!G5 + 바닥판단가!G17</f>
        <v>80132</v>
      </c>
      <c r="P21" s="5"/>
      <c r="Q21" s="13"/>
      <c r="R21" s="13"/>
      <c r="S21" s="13"/>
    </row>
    <row r="22" spans="1:19" ht="21.95" customHeight="1">
      <c r="A22" s="11" t="s">
        <v>14</v>
      </c>
      <c r="B22" s="11" t="s">
        <v>15</v>
      </c>
      <c r="C22" s="11" t="s">
        <v>16</v>
      </c>
      <c r="D22" s="11" t="s">
        <v>17</v>
      </c>
      <c r="E22" s="11" t="s">
        <v>18</v>
      </c>
      <c r="F22" s="11">
        <v>1300</v>
      </c>
      <c r="G22" s="11">
        <v>2400</v>
      </c>
      <c r="H22" s="11">
        <v>1300</v>
      </c>
      <c r="I22" s="11">
        <v>1400</v>
      </c>
      <c r="J22" s="11">
        <v>1000</v>
      </c>
      <c r="K22" s="11">
        <v>1000</v>
      </c>
      <c r="L22" s="12">
        <f>바닥판단가!G3</f>
        <v>53600</v>
      </c>
      <c r="M22" s="12">
        <f>바닥판단가!G22</f>
        <v>29256</v>
      </c>
      <c r="N22" s="13">
        <f>바닥판단가!G3 + 바닥판단가!G22</f>
        <v>82856</v>
      </c>
      <c r="P22" s="5"/>
      <c r="Q22" s="13"/>
      <c r="R22" s="13"/>
      <c r="S22" s="13"/>
    </row>
    <row r="23" spans="1:19" ht="21.95" customHeight="1">
      <c r="A23" s="11" t="s">
        <v>14</v>
      </c>
      <c r="B23" s="11" t="s">
        <v>15</v>
      </c>
      <c r="C23" s="11" t="s">
        <v>16</v>
      </c>
      <c r="D23" s="11" t="s">
        <v>17</v>
      </c>
      <c r="E23" s="11" t="s">
        <v>18</v>
      </c>
      <c r="F23" s="11">
        <v>1300</v>
      </c>
      <c r="G23" s="11">
        <v>2400</v>
      </c>
      <c r="H23" s="11">
        <v>1300</v>
      </c>
      <c r="I23" s="11">
        <v>1500</v>
      </c>
      <c r="J23" s="11">
        <v>900</v>
      </c>
      <c r="K23" s="11">
        <v>900</v>
      </c>
      <c r="L23" s="12">
        <f>바닥판단가!G4</f>
        <v>55485</v>
      </c>
      <c r="M23" s="12">
        <f>바닥판단가!G19</f>
        <v>25066</v>
      </c>
      <c r="N23" s="13">
        <f>바닥판단가!G4 + 바닥판단가!G19</f>
        <v>80551</v>
      </c>
      <c r="P23" s="5"/>
      <c r="Q23" s="13"/>
      <c r="R23" s="13"/>
      <c r="S23" s="13"/>
    </row>
    <row r="24" spans="1:19" ht="21.95" customHeight="1">
      <c r="A24" s="11" t="s">
        <v>14</v>
      </c>
      <c r="B24" s="11" t="s">
        <v>15</v>
      </c>
      <c r="C24" s="11" t="s">
        <v>16</v>
      </c>
      <c r="D24" s="11" t="s">
        <v>17</v>
      </c>
      <c r="E24" s="11" t="s">
        <v>18</v>
      </c>
      <c r="F24" s="11">
        <v>1300</v>
      </c>
      <c r="G24" s="11">
        <v>2400</v>
      </c>
      <c r="H24" s="11">
        <v>1300</v>
      </c>
      <c r="I24" s="11">
        <v>1500</v>
      </c>
      <c r="J24" s="11">
        <v>1000</v>
      </c>
      <c r="K24" s="11">
        <v>900</v>
      </c>
      <c r="L24" s="12">
        <f>바닥판단가!G4</f>
        <v>55485</v>
      </c>
      <c r="M24" s="12">
        <f>바닥판단가!G21</f>
        <v>27161</v>
      </c>
      <c r="N24" s="13">
        <f>바닥판단가!G4 + 바닥판단가!G21</f>
        <v>82646</v>
      </c>
      <c r="P24" s="5"/>
      <c r="Q24" s="13"/>
      <c r="R24" s="13"/>
      <c r="S24" s="13"/>
    </row>
    <row r="25" spans="1:19" ht="21.95" customHeight="1">
      <c r="A25" s="11" t="s">
        <v>14</v>
      </c>
      <c r="B25" s="11" t="s">
        <v>15</v>
      </c>
      <c r="C25" s="11" t="s">
        <v>16</v>
      </c>
      <c r="D25" s="11" t="s">
        <v>17</v>
      </c>
      <c r="E25" s="11" t="s">
        <v>18</v>
      </c>
      <c r="F25" s="11">
        <v>1300</v>
      </c>
      <c r="G25" s="11">
        <v>2400</v>
      </c>
      <c r="H25" s="11">
        <v>1300</v>
      </c>
      <c r="I25" s="11">
        <v>1600</v>
      </c>
      <c r="J25" s="11">
        <v>900</v>
      </c>
      <c r="K25" s="11">
        <v>800</v>
      </c>
      <c r="L25" s="12">
        <f>바닥판단가!G5</f>
        <v>57790</v>
      </c>
      <c r="M25" s="12">
        <f>바닥판단가!G18</f>
        <v>23494</v>
      </c>
      <c r="N25" s="13">
        <f>바닥판단가!G5 + 바닥판단가!G18</f>
        <v>81284</v>
      </c>
      <c r="P25" s="5"/>
      <c r="Q25" s="13"/>
      <c r="R25" s="13"/>
      <c r="S25" s="13"/>
    </row>
    <row r="26" spans="1:19" ht="21.95" customHeight="1">
      <c r="A26" s="11" t="s">
        <v>14</v>
      </c>
      <c r="B26" s="11" t="s">
        <v>15</v>
      </c>
      <c r="C26" s="11" t="s">
        <v>16</v>
      </c>
      <c r="D26" s="11" t="s">
        <v>17</v>
      </c>
      <c r="E26" s="11" t="s">
        <v>18</v>
      </c>
      <c r="F26" s="11">
        <v>1300</v>
      </c>
      <c r="G26" s="11">
        <v>2500</v>
      </c>
      <c r="H26" s="11">
        <v>1300</v>
      </c>
      <c r="I26" s="11">
        <v>1500</v>
      </c>
      <c r="J26" s="11">
        <v>1000</v>
      </c>
      <c r="K26" s="11">
        <v>1000</v>
      </c>
      <c r="L26" s="12">
        <f>바닥판단가!G4</f>
        <v>55485</v>
      </c>
      <c r="M26" s="12">
        <f>바닥판단가!G22</f>
        <v>29256</v>
      </c>
      <c r="N26" s="13">
        <f>바닥판단가!G4 + 바닥판단가!G22</f>
        <v>84741</v>
      </c>
      <c r="P26" s="5"/>
      <c r="Q26" s="13"/>
      <c r="R26" s="13"/>
      <c r="S26" s="13"/>
    </row>
    <row r="27" spans="1:19" ht="21.95" customHeight="1">
      <c r="A27" s="11" t="s">
        <v>14</v>
      </c>
      <c r="B27" s="11" t="s">
        <v>15</v>
      </c>
      <c r="C27" s="11" t="s">
        <v>16</v>
      </c>
      <c r="D27" s="11" t="s">
        <v>17</v>
      </c>
      <c r="E27" s="11" t="s">
        <v>18</v>
      </c>
      <c r="F27" s="11">
        <v>1300</v>
      </c>
      <c r="G27" s="11">
        <v>2500</v>
      </c>
      <c r="H27" s="11">
        <v>1300</v>
      </c>
      <c r="I27" s="11">
        <v>1600</v>
      </c>
      <c r="J27" s="11">
        <v>900</v>
      </c>
      <c r="K27" s="11">
        <v>900</v>
      </c>
      <c r="L27" s="12">
        <f>바닥판단가!G5</f>
        <v>57790</v>
      </c>
      <c r="M27" s="12">
        <f>바닥판단가!G19</f>
        <v>25066</v>
      </c>
      <c r="N27" s="13">
        <f>바닥판단가!G5 + 바닥판단가!G19</f>
        <v>82856</v>
      </c>
      <c r="P27" s="5"/>
      <c r="Q27" s="13"/>
      <c r="R27" s="13"/>
      <c r="S27" s="13"/>
    </row>
    <row r="28" spans="1:19" ht="21.95" customHeight="1">
      <c r="A28" s="11" t="s">
        <v>14</v>
      </c>
      <c r="B28" s="11" t="s">
        <v>15</v>
      </c>
      <c r="C28" s="11" t="s">
        <v>16</v>
      </c>
      <c r="D28" s="11" t="s">
        <v>17</v>
      </c>
      <c r="E28" s="11" t="s">
        <v>18</v>
      </c>
      <c r="F28" s="11">
        <v>1300</v>
      </c>
      <c r="G28" s="11">
        <v>2500</v>
      </c>
      <c r="H28" s="11">
        <v>1300</v>
      </c>
      <c r="I28" s="11">
        <v>1600</v>
      </c>
      <c r="J28" s="11">
        <v>1000</v>
      </c>
      <c r="K28" s="11">
        <v>900</v>
      </c>
      <c r="L28" s="12">
        <f>바닥판단가!G5</f>
        <v>57790</v>
      </c>
      <c r="M28" s="12">
        <f>바닥판단가!G21</f>
        <v>27161</v>
      </c>
      <c r="N28" s="13">
        <f>바닥판단가!G5 + 바닥판단가!G21</f>
        <v>84951</v>
      </c>
      <c r="P28" s="5"/>
      <c r="Q28" s="13"/>
      <c r="R28" s="13"/>
      <c r="S28" s="13"/>
    </row>
    <row r="29" spans="1:19" ht="21.95" customHeight="1">
      <c r="A29" s="11" t="s">
        <v>14</v>
      </c>
      <c r="B29" s="11" t="s">
        <v>15</v>
      </c>
      <c r="C29" s="11" t="s">
        <v>16</v>
      </c>
      <c r="D29" s="11" t="s">
        <v>17</v>
      </c>
      <c r="E29" s="11" t="s">
        <v>18</v>
      </c>
      <c r="F29" s="11">
        <v>1400</v>
      </c>
      <c r="G29" s="11">
        <v>1900</v>
      </c>
      <c r="H29" s="11">
        <v>1400</v>
      </c>
      <c r="I29" s="11">
        <v>1300</v>
      </c>
      <c r="J29" s="11">
        <v>850</v>
      </c>
      <c r="K29" s="11">
        <v>600</v>
      </c>
      <c r="L29" s="12">
        <f>바닥판단가!G6</f>
        <v>53600</v>
      </c>
      <c r="M29" s="12">
        <f>바닥판단가!G15</f>
        <v>20666</v>
      </c>
      <c r="N29" s="13">
        <f>바닥판단가!G6 + 바닥판단가!G15</f>
        <v>74266</v>
      </c>
      <c r="P29" s="5"/>
      <c r="Q29" s="13"/>
      <c r="R29" s="13"/>
      <c r="S29" s="13"/>
    </row>
    <row r="30" spans="1:19" ht="21.95" customHeight="1">
      <c r="A30" s="11" t="s">
        <v>14</v>
      </c>
      <c r="B30" s="11" t="s">
        <v>15</v>
      </c>
      <c r="C30" s="11" t="s">
        <v>16</v>
      </c>
      <c r="D30" s="11" t="s">
        <v>17</v>
      </c>
      <c r="E30" s="11" t="s">
        <v>18</v>
      </c>
      <c r="F30" s="11">
        <v>1400</v>
      </c>
      <c r="G30" s="11">
        <v>1900</v>
      </c>
      <c r="H30" s="11">
        <v>1400</v>
      </c>
      <c r="I30" s="11">
        <v>1300</v>
      </c>
      <c r="J30" s="11">
        <v>900</v>
      </c>
      <c r="K30" s="11">
        <v>600</v>
      </c>
      <c r="L30" s="12">
        <f>바닥판단가!G6</f>
        <v>53600</v>
      </c>
      <c r="M30" s="12">
        <f>바닥판단가!G16</f>
        <v>21190</v>
      </c>
      <c r="N30" s="13">
        <f>바닥판단가!G6 + 바닥판단가!G16</f>
        <v>74790</v>
      </c>
      <c r="P30" s="5"/>
      <c r="Q30" s="13"/>
      <c r="R30" s="13"/>
      <c r="S30" s="13"/>
    </row>
    <row r="31" spans="1:19" ht="21.95" customHeight="1">
      <c r="A31" s="11" t="s">
        <v>14</v>
      </c>
      <c r="B31" s="11" t="s">
        <v>15</v>
      </c>
      <c r="C31" s="11" t="s">
        <v>16</v>
      </c>
      <c r="D31" s="11" t="s">
        <v>17</v>
      </c>
      <c r="E31" s="11" t="s">
        <v>18</v>
      </c>
      <c r="F31" s="11">
        <v>1400</v>
      </c>
      <c r="G31" s="11">
        <v>2000</v>
      </c>
      <c r="H31" s="11">
        <v>1400</v>
      </c>
      <c r="I31" s="11">
        <v>1300</v>
      </c>
      <c r="J31" s="11">
        <v>900</v>
      </c>
      <c r="K31" s="11">
        <v>700</v>
      </c>
      <c r="L31" s="12">
        <f>바닥판단가!G6</f>
        <v>53600</v>
      </c>
      <c r="M31" s="12">
        <f>바닥판단가!G17</f>
        <v>22342</v>
      </c>
      <c r="N31" s="13">
        <f>바닥판단가!G6 + 바닥판단가!G17</f>
        <v>75942</v>
      </c>
      <c r="P31" s="5"/>
      <c r="Q31" s="13"/>
      <c r="R31" s="13"/>
      <c r="S31" s="13"/>
    </row>
    <row r="32" spans="1:19" ht="21.95" customHeight="1">
      <c r="A32" s="11" t="s">
        <v>14</v>
      </c>
      <c r="B32" s="11" t="s">
        <v>15</v>
      </c>
      <c r="C32" s="11" t="s">
        <v>16</v>
      </c>
      <c r="D32" s="11" t="s">
        <v>17</v>
      </c>
      <c r="E32" s="11" t="s">
        <v>18</v>
      </c>
      <c r="F32" s="11">
        <v>1400</v>
      </c>
      <c r="G32" s="11">
        <v>2000</v>
      </c>
      <c r="H32" s="11">
        <v>1400</v>
      </c>
      <c r="I32" s="11">
        <v>1400</v>
      </c>
      <c r="J32" s="11">
        <v>850</v>
      </c>
      <c r="K32" s="11">
        <v>600</v>
      </c>
      <c r="L32" s="12">
        <f>바닥판단가!G7</f>
        <v>55695</v>
      </c>
      <c r="M32" s="12">
        <f>바닥판단가!G15</f>
        <v>20666</v>
      </c>
      <c r="N32" s="13">
        <f>바닥판단가!G7 + 바닥판단가!G15</f>
        <v>76361</v>
      </c>
      <c r="P32" s="5"/>
      <c r="Q32" s="13"/>
      <c r="R32" s="13"/>
      <c r="S32" s="13"/>
    </row>
    <row r="33" spans="1:28" ht="21.95" customHeight="1">
      <c r="A33" s="11" t="s">
        <v>14</v>
      </c>
      <c r="B33" s="11" t="s">
        <v>15</v>
      </c>
      <c r="C33" s="11" t="s">
        <v>16</v>
      </c>
      <c r="D33" s="11" t="s">
        <v>17</v>
      </c>
      <c r="E33" s="11" t="s">
        <v>18</v>
      </c>
      <c r="F33" s="11">
        <v>1400</v>
      </c>
      <c r="G33" s="11">
        <v>2000</v>
      </c>
      <c r="H33" s="11">
        <v>1400</v>
      </c>
      <c r="I33" s="11">
        <v>1400</v>
      </c>
      <c r="J33" s="11">
        <v>900</v>
      </c>
      <c r="K33" s="11">
        <v>600</v>
      </c>
      <c r="L33" s="12">
        <f>바닥판단가!G7</f>
        <v>55695</v>
      </c>
      <c r="M33" s="12">
        <f>바닥판단가!G16</f>
        <v>21190</v>
      </c>
      <c r="N33" s="13">
        <f>바닥판단가!G7 + 바닥판단가!G16</f>
        <v>76885</v>
      </c>
      <c r="P33" s="5"/>
      <c r="Q33" s="13"/>
      <c r="R33" s="13"/>
      <c r="S33" s="13"/>
    </row>
    <row r="34" spans="1:28" ht="21.95" customHeight="1">
      <c r="A34" s="11" t="s">
        <v>14</v>
      </c>
      <c r="B34" s="11" t="s">
        <v>15</v>
      </c>
      <c r="C34" s="11" t="s">
        <v>16</v>
      </c>
      <c r="D34" s="11" t="s">
        <v>17</v>
      </c>
      <c r="E34" s="11" t="s">
        <v>18</v>
      </c>
      <c r="F34" s="11">
        <v>1400</v>
      </c>
      <c r="G34" s="11">
        <v>2100</v>
      </c>
      <c r="H34" s="11">
        <v>1400</v>
      </c>
      <c r="I34" s="11">
        <v>1300</v>
      </c>
      <c r="J34" s="11">
        <v>900</v>
      </c>
      <c r="K34" s="11">
        <v>800</v>
      </c>
      <c r="L34" s="12">
        <f>바닥판단가!G6</f>
        <v>53600</v>
      </c>
      <c r="M34" s="12">
        <f>바닥판단가!G18</f>
        <v>23494</v>
      </c>
      <c r="N34" s="13">
        <f>바닥판단가!G6 + 바닥판단가!G18</f>
        <v>77094</v>
      </c>
      <c r="P34" s="5"/>
      <c r="Q34" s="13"/>
      <c r="R34" s="13"/>
      <c r="S34" s="13"/>
    </row>
    <row r="35" spans="1:28" ht="21.95" customHeight="1">
      <c r="A35" s="14" t="s">
        <v>14</v>
      </c>
      <c r="B35" s="14" t="s">
        <v>15</v>
      </c>
      <c r="C35" s="14" t="s">
        <v>16</v>
      </c>
      <c r="D35" s="14" t="s">
        <v>17</v>
      </c>
      <c r="E35" s="14" t="s">
        <v>18</v>
      </c>
      <c r="F35" s="14">
        <v>1400</v>
      </c>
      <c r="G35" s="14">
        <v>2100</v>
      </c>
      <c r="H35" s="14">
        <v>1400</v>
      </c>
      <c r="I35" s="14">
        <v>1400</v>
      </c>
      <c r="J35" s="14">
        <v>900</v>
      </c>
      <c r="K35" s="14">
        <v>700</v>
      </c>
      <c r="L35" s="15">
        <f>바닥판단가!G7</f>
        <v>55695</v>
      </c>
      <c r="M35" s="15">
        <f>바닥판단가!G17</f>
        <v>22342</v>
      </c>
      <c r="N35" s="16">
        <f>바닥판단가!G7 + 바닥판단가!G17</f>
        <v>78037</v>
      </c>
      <c r="O35" s="14"/>
      <c r="P35" s="17"/>
      <c r="Q35" s="16"/>
      <c r="R35" s="16"/>
      <c r="S35" s="16"/>
      <c r="T35" s="14"/>
      <c r="U35" s="14"/>
      <c r="V35" s="14"/>
      <c r="W35" s="14"/>
      <c r="X35" s="14"/>
      <c r="Y35" s="14"/>
      <c r="Z35" s="14"/>
      <c r="AA35" s="14"/>
      <c r="AB35" s="14"/>
    </row>
    <row r="36" spans="1:28" ht="21.95" customHeight="1">
      <c r="A36" s="11" t="s">
        <v>14</v>
      </c>
      <c r="B36" s="11" t="s">
        <v>15</v>
      </c>
      <c r="C36" s="11" t="s">
        <v>16</v>
      </c>
      <c r="D36" s="11" t="s">
        <v>17</v>
      </c>
      <c r="E36" s="11" t="s">
        <v>18</v>
      </c>
      <c r="F36" s="11">
        <v>1400</v>
      </c>
      <c r="G36" s="11">
        <v>2100</v>
      </c>
      <c r="H36" s="11">
        <v>1400</v>
      </c>
      <c r="I36" s="11">
        <v>1500</v>
      </c>
      <c r="J36" s="11">
        <v>850</v>
      </c>
      <c r="K36" s="11">
        <v>600</v>
      </c>
      <c r="L36" s="12">
        <f>바닥판단가!G8</f>
        <v>57581</v>
      </c>
      <c r="M36" s="12">
        <f>바닥판단가!G15</f>
        <v>20666</v>
      </c>
      <c r="N36" s="13">
        <f>바닥판단가!G8 + 바닥판단가!G15</f>
        <v>78247</v>
      </c>
      <c r="P36" s="5"/>
      <c r="Q36" s="13"/>
      <c r="R36" s="13"/>
      <c r="S36" s="13"/>
    </row>
    <row r="37" spans="1:28" ht="21.95" customHeight="1">
      <c r="A37" s="11" t="s">
        <v>14</v>
      </c>
      <c r="B37" s="11" t="s">
        <v>15</v>
      </c>
      <c r="C37" s="11" t="s">
        <v>16</v>
      </c>
      <c r="D37" s="11" t="s">
        <v>17</v>
      </c>
      <c r="E37" s="11" t="s">
        <v>18</v>
      </c>
      <c r="F37" s="11">
        <v>1400</v>
      </c>
      <c r="G37" s="11">
        <v>2100</v>
      </c>
      <c r="H37" s="11">
        <v>1400</v>
      </c>
      <c r="I37" s="11">
        <v>1500</v>
      </c>
      <c r="J37" s="11">
        <v>900</v>
      </c>
      <c r="K37" s="11">
        <v>600</v>
      </c>
      <c r="L37" s="12">
        <f>바닥판단가!G8</f>
        <v>57581</v>
      </c>
      <c r="M37" s="12">
        <f>바닥판단가!G16</f>
        <v>21190</v>
      </c>
      <c r="N37" s="13">
        <f>바닥판단가!G8 + 바닥판단가!G16</f>
        <v>78771</v>
      </c>
      <c r="P37" s="5"/>
      <c r="Q37" s="13"/>
      <c r="R37" s="13"/>
      <c r="S37" s="13"/>
    </row>
    <row r="38" spans="1:28" ht="21.95" customHeight="1">
      <c r="A38" s="11" t="s">
        <v>14</v>
      </c>
      <c r="B38" s="11" t="s">
        <v>15</v>
      </c>
      <c r="C38" s="11" t="s">
        <v>16</v>
      </c>
      <c r="D38" s="11" t="s">
        <v>17</v>
      </c>
      <c r="E38" s="11" t="s">
        <v>18</v>
      </c>
      <c r="F38" s="11">
        <v>1400</v>
      </c>
      <c r="G38" s="11">
        <v>2200</v>
      </c>
      <c r="H38" s="11">
        <v>1400</v>
      </c>
      <c r="I38" s="11">
        <v>1300</v>
      </c>
      <c r="J38" s="11">
        <v>900</v>
      </c>
      <c r="K38" s="11">
        <v>900</v>
      </c>
      <c r="L38" s="12">
        <f>바닥판단가!G6</f>
        <v>53600</v>
      </c>
      <c r="M38" s="12">
        <f>바닥판단가!G19</f>
        <v>25066</v>
      </c>
      <c r="N38" s="13">
        <f>바닥판단가!G6 + 바닥판단가!G19</f>
        <v>78666</v>
      </c>
      <c r="P38" s="5"/>
      <c r="Q38" s="13"/>
      <c r="R38" s="13"/>
      <c r="S38" s="13"/>
    </row>
    <row r="39" spans="1:28" ht="21.95" customHeight="1">
      <c r="A39" s="11" t="s">
        <v>14</v>
      </c>
      <c r="B39" s="11" t="s">
        <v>15</v>
      </c>
      <c r="C39" s="11" t="s">
        <v>16</v>
      </c>
      <c r="D39" s="11" t="s">
        <v>17</v>
      </c>
      <c r="E39" s="11" t="s">
        <v>18</v>
      </c>
      <c r="F39" s="11">
        <v>1400</v>
      </c>
      <c r="G39" s="11">
        <v>2200</v>
      </c>
      <c r="H39" s="11">
        <v>1400</v>
      </c>
      <c r="I39" s="11">
        <v>1300</v>
      </c>
      <c r="J39" s="11">
        <v>1000</v>
      </c>
      <c r="K39" s="11">
        <v>900</v>
      </c>
      <c r="L39" s="12">
        <f>바닥판단가!G6</f>
        <v>53600</v>
      </c>
      <c r="M39" s="12">
        <f>바닥판단가!G21</f>
        <v>27161</v>
      </c>
      <c r="N39" s="13">
        <f>바닥판단가!G6 + 바닥판단가!G21</f>
        <v>80761</v>
      </c>
      <c r="P39" s="5"/>
      <c r="Q39" s="13"/>
      <c r="R39" s="13"/>
      <c r="S39" s="13"/>
    </row>
    <row r="40" spans="1:28" ht="21.95" customHeight="1">
      <c r="A40" s="11" t="s">
        <v>14</v>
      </c>
      <c r="B40" s="11" t="s">
        <v>15</v>
      </c>
      <c r="C40" s="11" t="s">
        <v>16</v>
      </c>
      <c r="D40" s="11" t="s">
        <v>17</v>
      </c>
      <c r="E40" s="11" t="s">
        <v>18</v>
      </c>
      <c r="F40" s="11">
        <v>1400</v>
      </c>
      <c r="G40" s="11">
        <v>2200</v>
      </c>
      <c r="H40" s="11">
        <v>1400</v>
      </c>
      <c r="I40" s="11">
        <v>1400</v>
      </c>
      <c r="J40" s="11">
        <v>900</v>
      </c>
      <c r="K40" s="11">
        <v>800</v>
      </c>
      <c r="L40" s="12">
        <f>바닥판단가!G7</f>
        <v>55695</v>
      </c>
      <c r="M40" s="12">
        <f>바닥판단가!G18</f>
        <v>23494</v>
      </c>
      <c r="N40" s="13">
        <f>바닥판단가!G7 + 바닥판단가!G18</f>
        <v>79189</v>
      </c>
      <c r="P40" s="5"/>
      <c r="Q40" s="13"/>
      <c r="R40" s="13"/>
      <c r="S40" s="13"/>
    </row>
    <row r="41" spans="1:28" ht="21.95" customHeight="1">
      <c r="A41" s="11" t="s">
        <v>14</v>
      </c>
      <c r="B41" s="11" t="s">
        <v>15</v>
      </c>
      <c r="C41" s="11" t="s">
        <v>16</v>
      </c>
      <c r="D41" s="11" t="s">
        <v>17</v>
      </c>
      <c r="E41" s="11" t="s">
        <v>18</v>
      </c>
      <c r="F41" s="11">
        <v>1400</v>
      </c>
      <c r="G41" s="11">
        <v>2200</v>
      </c>
      <c r="H41" s="11">
        <v>1400</v>
      </c>
      <c r="I41" s="11">
        <v>1500</v>
      </c>
      <c r="J41" s="11">
        <v>900</v>
      </c>
      <c r="K41" s="11">
        <v>700</v>
      </c>
      <c r="L41" s="12">
        <f>바닥판단가!G8</f>
        <v>57581</v>
      </c>
      <c r="M41" s="12">
        <f>바닥판단가!G17</f>
        <v>22342</v>
      </c>
      <c r="N41" s="13">
        <f>바닥판단가!G8 + 바닥판단가!G17</f>
        <v>79923</v>
      </c>
      <c r="P41" s="5"/>
      <c r="Q41" s="13"/>
      <c r="R41" s="13"/>
      <c r="S41" s="13"/>
    </row>
    <row r="42" spans="1:28" ht="21.95" customHeight="1">
      <c r="A42" s="11" t="s">
        <v>14</v>
      </c>
      <c r="B42" s="11" t="s">
        <v>15</v>
      </c>
      <c r="C42" s="11" t="s">
        <v>16</v>
      </c>
      <c r="D42" s="11" t="s">
        <v>17</v>
      </c>
      <c r="E42" s="11" t="s">
        <v>18</v>
      </c>
      <c r="F42" s="11">
        <v>1400</v>
      </c>
      <c r="G42" s="11">
        <v>2200</v>
      </c>
      <c r="H42" s="11">
        <v>1400</v>
      </c>
      <c r="I42" s="11">
        <v>1600</v>
      </c>
      <c r="J42" s="11">
        <v>850</v>
      </c>
      <c r="K42" s="11">
        <v>600</v>
      </c>
      <c r="L42" s="12">
        <f>바닥판단가!G9</f>
        <v>59676</v>
      </c>
      <c r="M42" s="12">
        <f>바닥판단가!G15</f>
        <v>20666</v>
      </c>
      <c r="N42" s="13">
        <f>바닥판단가!G9 + 바닥판단가!G15</f>
        <v>80342</v>
      </c>
      <c r="P42" s="5"/>
      <c r="Q42" s="13"/>
      <c r="R42" s="13"/>
      <c r="S42" s="13"/>
    </row>
    <row r="43" spans="1:28" ht="21.95" customHeight="1">
      <c r="A43" s="11" t="s">
        <v>14</v>
      </c>
      <c r="B43" s="11" t="s">
        <v>15</v>
      </c>
      <c r="C43" s="11" t="s">
        <v>16</v>
      </c>
      <c r="D43" s="11" t="s">
        <v>17</v>
      </c>
      <c r="E43" s="11" t="s">
        <v>18</v>
      </c>
      <c r="F43" s="11">
        <v>1400</v>
      </c>
      <c r="G43" s="11">
        <v>2200</v>
      </c>
      <c r="H43" s="11">
        <v>1400</v>
      </c>
      <c r="I43" s="11">
        <v>1600</v>
      </c>
      <c r="J43" s="11">
        <v>900</v>
      </c>
      <c r="K43" s="11">
        <v>600</v>
      </c>
      <c r="L43" s="12">
        <f>바닥판단가!G9</f>
        <v>59676</v>
      </c>
      <c r="M43" s="12">
        <f>바닥판단가!G16</f>
        <v>21190</v>
      </c>
      <c r="N43" s="13">
        <f>바닥판단가!G9 + 바닥판단가!G16</f>
        <v>80866</v>
      </c>
      <c r="P43" s="5"/>
      <c r="Q43" s="13"/>
      <c r="R43" s="13"/>
      <c r="S43" s="13"/>
    </row>
    <row r="44" spans="1:28" ht="21.95" customHeight="1">
      <c r="A44" s="11" t="s">
        <v>14</v>
      </c>
      <c r="B44" s="11" t="s">
        <v>15</v>
      </c>
      <c r="C44" s="11" t="s">
        <v>16</v>
      </c>
      <c r="D44" s="11" t="s">
        <v>17</v>
      </c>
      <c r="E44" s="11" t="s">
        <v>18</v>
      </c>
      <c r="F44" s="11">
        <v>1400</v>
      </c>
      <c r="G44" s="11">
        <v>2300</v>
      </c>
      <c r="H44" s="11">
        <v>1400</v>
      </c>
      <c r="I44" s="11">
        <v>1300</v>
      </c>
      <c r="J44" s="11">
        <v>1000</v>
      </c>
      <c r="K44" s="11">
        <v>1000</v>
      </c>
      <c r="L44" s="12">
        <f>바닥판단가!G6</f>
        <v>53600</v>
      </c>
      <c r="M44" s="12">
        <f>바닥판단가!G22</f>
        <v>29256</v>
      </c>
      <c r="N44" s="13">
        <f>바닥판단가!G6 + 바닥판단가!G22</f>
        <v>82856</v>
      </c>
      <c r="P44" s="5"/>
      <c r="Q44" s="13"/>
      <c r="R44" s="13"/>
      <c r="S44" s="13"/>
    </row>
    <row r="45" spans="1:28" ht="21.95" customHeight="1">
      <c r="A45" s="11" t="s">
        <v>14</v>
      </c>
      <c r="B45" s="11" t="s">
        <v>15</v>
      </c>
      <c r="C45" s="11" t="s">
        <v>16</v>
      </c>
      <c r="D45" s="11" t="s">
        <v>17</v>
      </c>
      <c r="E45" s="11" t="s">
        <v>18</v>
      </c>
      <c r="F45" s="11">
        <v>1400</v>
      </c>
      <c r="G45" s="11">
        <v>2300</v>
      </c>
      <c r="H45" s="11">
        <v>1400</v>
      </c>
      <c r="I45" s="11">
        <v>1400</v>
      </c>
      <c r="J45" s="11">
        <v>900</v>
      </c>
      <c r="K45" s="11">
        <v>900</v>
      </c>
      <c r="L45" s="12">
        <f>바닥판단가!G7</f>
        <v>55695</v>
      </c>
      <c r="M45" s="12">
        <f>바닥판단가!G19</f>
        <v>25066</v>
      </c>
      <c r="N45" s="13">
        <f>바닥판단가!G7 + 바닥판단가!G19</f>
        <v>80761</v>
      </c>
      <c r="P45" s="5"/>
      <c r="Q45" s="13"/>
      <c r="R45" s="13"/>
      <c r="S45" s="13"/>
    </row>
    <row r="46" spans="1:28" ht="21.95" customHeight="1">
      <c r="A46" s="11" t="s">
        <v>14</v>
      </c>
      <c r="B46" s="11" t="s">
        <v>15</v>
      </c>
      <c r="C46" s="11" t="s">
        <v>16</v>
      </c>
      <c r="D46" s="11" t="s">
        <v>17</v>
      </c>
      <c r="E46" s="11" t="s">
        <v>18</v>
      </c>
      <c r="F46" s="11">
        <v>1400</v>
      </c>
      <c r="G46" s="11">
        <v>2300</v>
      </c>
      <c r="H46" s="11">
        <v>1400</v>
      </c>
      <c r="I46" s="11">
        <v>1400</v>
      </c>
      <c r="J46" s="11">
        <v>1000</v>
      </c>
      <c r="K46" s="11">
        <v>900</v>
      </c>
      <c r="L46" s="12">
        <f>바닥판단가!G7</f>
        <v>55695</v>
      </c>
      <c r="M46" s="12">
        <f>바닥판단가!G21</f>
        <v>27161</v>
      </c>
      <c r="N46" s="13">
        <f>바닥판단가!G7 + 바닥판단가!G21</f>
        <v>82856</v>
      </c>
      <c r="P46" s="5"/>
      <c r="Q46" s="13"/>
      <c r="R46" s="13"/>
      <c r="S46" s="13"/>
    </row>
    <row r="47" spans="1:28" ht="21.95" customHeight="1">
      <c r="A47" s="11" t="s">
        <v>14</v>
      </c>
      <c r="B47" s="11" t="s">
        <v>15</v>
      </c>
      <c r="C47" s="11" t="s">
        <v>16</v>
      </c>
      <c r="D47" s="11" t="s">
        <v>17</v>
      </c>
      <c r="E47" s="11" t="s">
        <v>18</v>
      </c>
      <c r="F47" s="11">
        <v>1400</v>
      </c>
      <c r="G47" s="11">
        <v>2300</v>
      </c>
      <c r="H47" s="11">
        <v>1400</v>
      </c>
      <c r="I47" s="11">
        <v>1500</v>
      </c>
      <c r="J47" s="11">
        <v>900</v>
      </c>
      <c r="K47" s="11">
        <v>800</v>
      </c>
      <c r="L47" s="12">
        <f>바닥판단가!G8</f>
        <v>57581</v>
      </c>
      <c r="M47" s="12">
        <f>바닥판단가!G18</f>
        <v>23494</v>
      </c>
      <c r="N47" s="13">
        <f>바닥판단가!G8 + 바닥판단가!G18</f>
        <v>81075</v>
      </c>
      <c r="P47" s="5"/>
      <c r="Q47" s="13"/>
      <c r="R47" s="13"/>
      <c r="S47" s="13"/>
    </row>
    <row r="48" spans="1:28" ht="21.95" customHeight="1">
      <c r="A48" s="11" t="s">
        <v>14</v>
      </c>
      <c r="B48" s="11" t="s">
        <v>15</v>
      </c>
      <c r="C48" s="11" t="s">
        <v>16</v>
      </c>
      <c r="D48" s="11" t="s">
        <v>17</v>
      </c>
      <c r="E48" s="11" t="s">
        <v>18</v>
      </c>
      <c r="F48" s="11">
        <v>1400</v>
      </c>
      <c r="G48" s="11">
        <v>2300</v>
      </c>
      <c r="H48" s="11">
        <v>1400</v>
      </c>
      <c r="I48" s="11">
        <v>1600</v>
      </c>
      <c r="J48" s="11">
        <v>900</v>
      </c>
      <c r="K48" s="11">
        <v>700</v>
      </c>
      <c r="L48" s="12">
        <f>바닥판단가!G9</f>
        <v>59676</v>
      </c>
      <c r="M48" s="12">
        <f>바닥판단가!G17</f>
        <v>22342</v>
      </c>
      <c r="N48" s="13">
        <f>바닥판단가!G9 + 바닥판단가!G17</f>
        <v>82018</v>
      </c>
      <c r="P48" s="5"/>
      <c r="Q48" s="13"/>
      <c r="R48" s="13"/>
      <c r="S48" s="13"/>
    </row>
    <row r="49" spans="1:19" ht="21.95" customHeight="1">
      <c r="A49" s="11" t="s">
        <v>14</v>
      </c>
      <c r="B49" s="11" t="s">
        <v>15</v>
      </c>
      <c r="C49" s="11" t="s">
        <v>16</v>
      </c>
      <c r="D49" s="11" t="s">
        <v>17</v>
      </c>
      <c r="E49" s="11" t="s">
        <v>18</v>
      </c>
      <c r="F49" s="11">
        <v>1400</v>
      </c>
      <c r="G49" s="11">
        <v>2400</v>
      </c>
      <c r="H49" s="11">
        <v>1400</v>
      </c>
      <c r="I49" s="11">
        <v>1400</v>
      </c>
      <c r="J49" s="11">
        <v>1000</v>
      </c>
      <c r="K49" s="11">
        <v>1000</v>
      </c>
      <c r="L49" s="12">
        <f>바닥판단가!G7</f>
        <v>55695</v>
      </c>
      <c r="M49" s="12">
        <f>바닥판단가!G22</f>
        <v>29256</v>
      </c>
      <c r="N49" s="13">
        <f>바닥판단가!G7 + 바닥판단가!G22</f>
        <v>84951</v>
      </c>
      <c r="P49" s="5"/>
      <c r="Q49" s="13"/>
      <c r="R49" s="13"/>
      <c r="S49" s="13"/>
    </row>
    <row r="50" spans="1:19" ht="21.95" customHeight="1">
      <c r="A50" s="11" t="s">
        <v>14</v>
      </c>
      <c r="B50" s="11" t="s">
        <v>15</v>
      </c>
      <c r="C50" s="11" t="s">
        <v>16</v>
      </c>
      <c r="D50" s="11" t="s">
        <v>17</v>
      </c>
      <c r="E50" s="11" t="s">
        <v>18</v>
      </c>
      <c r="F50" s="11">
        <v>1400</v>
      </c>
      <c r="G50" s="11">
        <v>2400</v>
      </c>
      <c r="H50" s="11">
        <v>1400</v>
      </c>
      <c r="I50" s="11">
        <v>1500</v>
      </c>
      <c r="J50" s="11">
        <v>900</v>
      </c>
      <c r="K50" s="11">
        <v>900</v>
      </c>
      <c r="L50" s="12">
        <f>바닥판단가!G8</f>
        <v>57581</v>
      </c>
      <c r="M50" s="12">
        <f>바닥판단가!G19</f>
        <v>25066</v>
      </c>
      <c r="N50" s="13">
        <f>바닥판단가!G8 + 바닥판단가!G19</f>
        <v>82647</v>
      </c>
      <c r="P50" s="5"/>
      <c r="Q50" s="13"/>
      <c r="R50" s="13"/>
      <c r="S50" s="13"/>
    </row>
    <row r="51" spans="1:19" ht="21.95" customHeight="1">
      <c r="A51" s="11" t="s">
        <v>14</v>
      </c>
      <c r="B51" s="11" t="s">
        <v>15</v>
      </c>
      <c r="C51" s="11" t="s">
        <v>16</v>
      </c>
      <c r="D51" s="11" t="s">
        <v>17</v>
      </c>
      <c r="E51" s="11" t="s">
        <v>18</v>
      </c>
      <c r="F51" s="11">
        <v>1400</v>
      </c>
      <c r="G51" s="11">
        <v>2400</v>
      </c>
      <c r="H51" s="11">
        <v>1400</v>
      </c>
      <c r="I51" s="11">
        <v>1500</v>
      </c>
      <c r="J51" s="11">
        <v>1000</v>
      </c>
      <c r="K51" s="11">
        <v>900</v>
      </c>
      <c r="L51" s="12">
        <f>바닥판단가!G8</f>
        <v>57581</v>
      </c>
      <c r="M51" s="12">
        <f>바닥판단가!G21</f>
        <v>27161</v>
      </c>
      <c r="N51" s="13">
        <f>바닥판단가!G8 + 바닥판단가!G21</f>
        <v>84742</v>
      </c>
      <c r="P51" s="5"/>
      <c r="Q51" s="13"/>
      <c r="R51" s="13"/>
      <c r="S51" s="13"/>
    </row>
    <row r="52" spans="1:19" ht="21.95" customHeight="1">
      <c r="A52" s="11" t="s">
        <v>14</v>
      </c>
      <c r="B52" s="11" t="s">
        <v>15</v>
      </c>
      <c r="C52" s="11" t="s">
        <v>16</v>
      </c>
      <c r="D52" s="11" t="s">
        <v>17</v>
      </c>
      <c r="E52" s="11" t="s">
        <v>18</v>
      </c>
      <c r="F52" s="11">
        <v>1400</v>
      </c>
      <c r="G52" s="11">
        <v>2400</v>
      </c>
      <c r="H52" s="11">
        <v>1400</v>
      </c>
      <c r="I52" s="11">
        <v>1600</v>
      </c>
      <c r="J52" s="11">
        <v>900</v>
      </c>
      <c r="K52" s="11">
        <v>800</v>
      </c>
      <c r="L52" s="12">
        <f>바닥판단가!G9</f>
        <v>59676</v>
      </c>
      <c r="M52" s="12">
        <f>바닥판단가!G18</f>
        <v>23494</v>
      </c>
      <c r="N52" s="13">
        <f>바닥판단가!G9 + 바닥판단가!G18</f>
        <v>83170</v>
      </c>
      <c r="P52" s="5"/>
      <c r="Q52" s="13"/>
      <c r="R52" s="13"/>
      <c r="S52" s="13"/>
    </row>
    <row r="53" spans="1:19" ht="21.95" customHeight="1">
      <c r="A53" s="11" t="s">
        <v>14</v>
      </c>
      <c r="B53" s="11" t="s">
        <v>15</v>
      </c>
      <c r="C53" s="11" t="s">
        <v>16</v>
      </c>
      <c r="D53" s="11" t="s">
        <v>17</v>
      </c>
      <c r="E53" s="11" t="s">
        <v>18</v>
      </c>
      <c r="F53" s="11">
        <v>1400</v>
      </c>
      <c r="G53" s="11">
        <v>2500</v>
      </c>
      <c r="H53" s="11">
        <v>1400</v>
      </c>
      <c r="I53" s="11">
        <v>1500</v>
      </c>
      <c r="J53" s="11">
        <v>1000</v>
      </c>
      <c r="K53" s="11">
        <v>1000</v>
      </c>
      <c r="L53" s="12">
        <f>바닥판단가!G8</f>
        <v>57581</v>
      </c>
      <c r="M53" s="12">
        <f>바닥판단가!G22</f>
        <v>29256</v>
      </c>
      <c r="N53" s="13">
        <f>바닥판단가!G8 + 바닥판단가!G22</f>
        <v>86837</v>
      </c>
      <c r="P53" s="5"/>
      <c r="Q53" s="13"/>
      <c r="R53" s="13"/>
      <c r="S53" s="13"/>
    </row>
    <row r="54" spans="1:19" ht="21.95" customHeight="1">
      <c r="A54" s="11" t="s">
        <v>14</v>
      </c>
      <c r="B54" s="11" t="s">
        <v>15</v>
      </c>
      <c r="C54" s="11" t="s">
        <v>16</v>
      </c>
      <c r="D54" s="11" t="s">
        <v>17</v>
      </c>
      <c r="E54" s="11" t="s">
        <v>18</v>
      </c>
      <c r="F54" s="11">
        <v>1400</v>
      </c>
      <c r="G54" s="11">
        <v>2500</v>
      </c>
      <c r="H54" s="11">
        <v>1400</v>
      </c>
      <c r="I54" s="11">
        <v>1600</v>
      </c>
      <c r="J54" s="11">
        <v>900</v>
      </c>
      <c r="K54" s="11">
        <v>900</v>
      </c>
      <c r="L54" s="12">
        <f>바닥판단가!G9</f>
        <v>59676</v>
      </c>
      <c r="M54" s="12">
        <f>바닥판단가!G19</f>
        <v>25066</v>
      </c>
      <c r="N54" s="13">
        <f>바닥판단가!G9 + 바닥판단가!G19</f>
        <v>84742</v>
      </c>
      <c r="P54" s="5"/>
      <c r="Q54" s="13"/>
      <c r="R54" s="13"/>
      <c r="S54" s="13"/>
    </row>
    <row r="55" spans="1:19" ht="21.95" customHeight="1">
      <c r="A55" s="11" t="s">
        <v>14</v>
      </c>
      <c r="B55" s="11" t="s">
        <v>15</v>
      </c>
      <c r="C55" s="11" t="s">
        <v>16</v>
      </c>
      <c r="D55" s="11" t="s">
        <v>17</v>
      </c>
      <c r="E55" s="11" t="s">
        <v>18</v>
      </c>
      <c r="F55" s="11">
        <v>1400</v>
      </c>
      <c r="G55" s="11">
        <v>2500</v>
      </c>
      <c r="H55" s="11">
        <v>1400</v>
      </c>
      <c r="I55" s="11">
        <v>1600</v>
      </c>
      <c r="J55" s="11">
        <v>1000</v>
      </c>
      <c r="K55" s="11">
        <v>900</v>
      </c>
      <c r="L55" s="12">
        <f>바닥판단가!G9</f>
        <v>59676</v>
      </c>
      <c r="M55" s="12">
        <f>바닥판단가!G21</f>
        <v>27161</v>
      </c>
      <c r="N55" s="13">
        <f>바닥판단가!G9 + 바닥판단가!G21</f>
        <v>86837</v>
      </c>
      <c r="P55" s="5"/>
      <c r="Q55" s="13"/>
      <c r="R55" s="13"/>
      <c r="S55" s="13"/>
    </row>
    <row r="56" spans="1:19" ht="21.95" customHeight="1">
      <c r="A56" s="11" t="s">
        <v>14</v>
      </c>
      <c r="B56" s="11" t="s">
        <v>15</v>
      </c>
      <c r="C56" s="11" t="s">
        <v>16</v>
      </c>
      <c r="D56" s="11" t="s">
        <v>17</v>
      </c>
      <c r="E56" s="11" t="s">
        <v>18</v>
      </c>
      <c r="F56" s="11">
        <v>1500</v>
      </c>
      <c r="G56" s="11">
        <v>1900</v>
      </c>
      <c r="H56" s="11">
        <v>1500</v>
      </c>
      <c r="I56" s="11">
        <v>1300</v>
      </c>
      <c r="J56" s="11">
        <v>850</v>
      </c>
      <c r="K56" s="11">
        <v>600</v>
      </c>
      <c r="L56" s="12">
        <f>바닥판단가!G10</f>
        <v>55485</v>
      </c>
      <c r="M56" s="12">
        <f>바닥판단가!G15</f>
        <v>20666</v>
      </c>
      <c r="N56" s="13">
        <f>바닥판단가!G10 + 바닥판단가!G15</f>
        <v>76151</v>
      </c>
      <c r="P56" s="5"/>
      <c r="Q56" s="13"/>
      <c r="R56" s="13"/>
      <c r="S56" s="13"/>
    </row>
    <row r="57" spans="1:19" ht="21.95" customHeight="1">
      <c r="A57" s="11" t="s">
        <v>14</v>
      </c>
      <c r="B57" s="11" t="s">
        <v>15</v>
      </c>
      <c r="C57" s="11" t="s">
        <v>16</v>
      </c>
      <c r="D57" s="11" t="s">
        <v>17</v>
      </c>
      <c r="E57" s="11" t="s">
        <v>18</v>
      </c>
      <c r="F57" s="11">
        <v>1500</v>
      </c>
      <c r="G57" s="11">
        <v>1900</v>
      </c>
      <c r="H57" s="11">
        <v>1500</v>
      </c>
      <c r="I57" s="11">
        <v>1300</v>
      </c>
      <c r="J57" s="11">
        <v>900</v>
      </c>
      <c r="K57" s="11">
        <v>600</v>
      </c>
      <c r="L57" s="12">
        <f>바닥판단가!G10</f>
        <v>55485</v>
      </c>
      <c r="M57" s="12">
        <f>바닥판단가!G16</f>
        <v>21190</v>
      </c>
      <c r="N57" s="13">
        <f>바닥판단가!G10 + 바닥판단가!G16</f>
        <v>76675</v>
      </c>
      <c r="P57" s="5"/>
      <c r="Q57" s="13"/>
      <c r="R57" s="13"/>
      <c r="S57" s="13"/>
    </row>
    <row r="58" spans="1:19" ht="21.95" customHeight="1">
      <c r="A58" s="11" t="s">
        <v>14</v>
      </c>
      <c r="B58" s="11" t="s">
        <v>15</v>
      </c>
      <c r="C58" s="11" t="s">
        <v>16</v>
      </c>
      <c r="D58" s="11" t="s">
        <v>17</v>
      </c>
      <c r="E58" s="11" t="s">
        <v>18</v>
      </c>
      <c r="F58" s="11">
        <v>1500</v>
      </c>
      <c r="G58" s="11">
        <v>2000</v>
      </c>
      <c r="H58" s="11">
        <v>1500</v>
      </c>
      <c r="I58" s="11">
        <v>1300</v>
      </c>
      <c r="J58" s="11">
        <v>900</v>
      </c>
      <c r="K58" s="11">
        <v>700</v>
      </c>
      <c r="L58" s="12">
        <f>바닥판단가!G10</f>
        <v>55485</v>
      </c>
      <c r="M58" s="12">
        <f>바닥판단가!G17</f>
        <v>22342</v>
      </c>
      <c r="N58" s="13">
        <f>바닥판단가!G10 + 바닥판단가!G17</f>
        <v>77827</v>
      </c>
      <c r="P58" s="5"/>
      <c r="Q58" s="13"/>
      <c r="R58" s="13"/>
      <c r="S58" s="13"/>
    </row>
    <row r="59" spans="1:19" ht="21.95" customHeight="1">
      <c r="A59" s="11" t="s">
        <v>14</v>
      </c>
      <c r="B59" s="11" t="s">
        <v>15</v>
      </c>
      <c r="C59" s="11" t="s">
        <v>16</v>
      </c>
      <c r="D59" s="11" t="s">
        <v>17</v>
      </c>
      <c r="E59" s="11" t="s">
        <v>18</v>
      </c>
      <c r="F59" s="11">
        <v>1500</v>
      </c>
      <c r="G59" s="11">
        <v>2000</v>
      </c>
      <c r="H59" s="11">
        <v>1500</v>
      </c>
      <c r="I59" s="11">
        <v>1400</v>
      </c>
      <c r="J59" s="11">
        <v>850</v>
      </c>
      <c r="K59" s="11">
        <v>600</v>
      </c>
      <c r="L59" s="12">
        <f>바닥판단가!G11</f>
        <v>57581</v>
      </c>
      <c r="M59" s="12">
        <f>바닥판단가!G15</f>
        <v>20666</v>
      </c>
      <c r="N59" s="13">
        <f>바닥판단가!G11 + 바닥판단가!G15</f>
        <v>78247</v>
      </c>
      <c r="P59" s="5"/>
      <c r="Q59" s="13"/>
      <c r="R59" s="13"/>
      <c r="S59" s="13"/>
    </row>
    <row r="60" spans="1:19" ht="21.95" customHeight="1">
      <c r="A60" s="11" t="s">
        <v>14</v>
      </c>
      <c r="B60" s="11" t="s">
        <v>15</v>
      </c>
      <c r="C60" s="11" t="s">
        <v>16</v>
      </c>
      <c r="D60" s="11" t="s">
        <v>17</v>
      </c>
      <c r="E60" s="11" t="s">
        <v>18</v>
      </c>
      <c r="F60" s="11">
        <v>1500</v>
      </c>
      <c r="G60" s="11">
        <v>2000</v>
      </c>
      <c r="H60" s="11">
        <v>1500</v>
      </c>
      <c r="I60" s="11">
        <v>1400</v>
      </c>
      <c r="J60" s="11">
        <v>900</v>
      </c>
      <c r="K60" s="11">
        <v>600</v>
      </c>
      <c r="L60" s="12">
        <f>바닥판단가!G11</f>
        <v>57581</v>
      </c>
      <c r="M60" s="12">
        <f>바닥판단가!G16</f>
        <v>21190</v>
      </c>
      <c r="N60" s="13">
        <f>바닥판단가!G11 + 바닥판단가!G16</f>
        <v>78771</v>
      </c>
      <c r="P60" s="5"/>
      <c r="Q60" s="13"/>
      <c r="R60" s="13"/>
      <c r="S60" s="13"/>
    </row>
    <row r="61" spans="1:19" ht="21.95" customHeight="1">
      <c r="A61" s="11" t="s">
        <v>14</v>
      </c>
      <c r="B61" s="11" t="s">
        <v>15</v>
      </c>
      <c r="C61" s="11" t="s">
        <v>16</v>
      </c>
      <c r="D61" s="11" t="s">
        <v>17</v>
      </c>
      <c r="E61" s="11" t="s">
        <v>18</v>
      </c>
      <c r="F61" s="11">
        <v>1500</v>
      </c>
      <c r="G61" s="11">
        <v>2100</v>
      </c>
      <c r="H61" s="11">
        <v>1500</v>
      </c>
      <c r="I61" s="11">
        <v>1300</v>
      </c>
      <c r="J61" s="11">
        <v>900</v>
      </c>
      <c r="K61" s="11">
        <v>800</v>
      </c>
      <c r="L61" s="12">
        <f>바닥판단가!G10</f>
        <v>55485</v>
      </c>
      <c r="M61" s="12">
        <f>바닥판단가!G18</f>
        <v>23494</v>
      </c>
      <c r="N61" s="13">
        <f>바닥판단가!G10 + 바닥판단가!G18</f>
        <v>78979</v>
      </c>
      <c r="P61" s="5"/>
      <c r="Q61" s="13"/>
      <c r="R61" s="13"/>
      <c r="S61" s="13"/>
    </row>
    <row r="62" spans="1:19" ht="21.95" customHeight="1">
      <c r="A62" s="11" t="s">
        <v>14</v>
      </c>
      <c r="B62" s="11" t="s">
        <v>15</v>
      </c>
      <c r="C62" s="11" t="s">
        <v>16</v>
      </c>
      <c r="D62" s="11" t="s">
        <v>17</v>
      </c>
      <c r="E62" s="11" t="s">
        <v>18</v>
      </c>
      <c r="F62" s="11">
        <v>1500</v>
      </c>
      <c r="G62" s="11">
        <v>2100</v>
      </c>
      <c r="H62" s="11">
        <v>1500</v>
      </c>
      <c r="I62" s="11">
        <v>1400</v>
      </c>
      <c r="J62" s="11">
        <v>900</v>
      </c>
      <c r="K62" s="11">
        <v>700</v>
      </c>
      <c r="L62" s="12">
        <f>바닥판단가!G11</f>
        <v>57581</v>
      </c>
      <c r="M62" s="12">
        <f>바닥판단가!G17</f>
        <v>22342</v>
      </c>
      <c r="N62" s="13">
        <f>바닥판단가!G11 + 바닥판단가!G17</f>
        <v>79923</v>
      </c>
      <c r="P62" s="5"/>
      <c r="Q62" s="13"/>
      <c r="R62" s="13"/>
      <c r="S62" s="13"/>
    </row>
    <row r="63" spans="1:19" ht="21.95" customHeight="1">
      <c r="A63" s="11" t="s">
        <v>14</v>
      </c>
      <c r="B63" s="11" t="s">
        <v>15</v>
      </c>
      <c r="C63" s="11" t="s">
        <v>16</v>
      </c>
      <c r="D63" s="11" t="s">
        <v>17</v>
      </c>
      <c r="E63" s="11" t="s">
        <v>18</v>
      </c>
      <c r="F63" s="11">
        <v>1500</v>
      </c>
      <c r="G63" s="11">
        <v>2100</v>
      </c>
      <c r="H63" s="11">
        <v>1500</v>
      </c>
      <c r="I63" s="11">
        <v>1500</v>
      </c>
      <c r="J63" s="11">
        <v>850</v>
      </c>
      <c r="K63" s="11">
        <v>600</v>
      </c>
      <c r="L63" s="12">
        <f>바닥판단가!G12</f>
        <v>59676</v>
      </c>
      <c r="M63" s="12">
        <f>바닥판단가!G15</f>
        <v>20666</v>
      </c>
      <c r="N63" s="13">
        <f>바닥판단가!G12 + 바닥판단가!G15</f>
        <v>80342</v>
      </c>
      <c r="P63" s="5"/>
      <c r="Q63" s="13"/>
      <c r="R63" s="13"/>
      <c r="S63" s="13"/>
    </row>
    <row r="64" spans="1:19" ht="21.95" customHeight="1">
      <c r="A64" s="11" t="s">
        <v>14</v>
      </c>
      <c r="B64" s="11" t="s">
        <v>15</v>
      </c>
      <c r="C64" s="11" t="s">
        <v>16</v>
      </c>
      <c r="D64" s="11" t="s">
        <v>17</v>
      </c>
      <c r="E64" s="11" t="s">
        <v>18</v>
      </c>
      <c r="F64" s="11">
        <v>1500</v>
      </c>
      <c r="G64" s="11">
        <v>2100</v>
      </c>
      <c r="H64" s="11">
        <v>1500</v>
      </c>
      <c r="I64" s="11">
        <v>1500</v>
      </c>
      <c r="J64" s="11">
        <v>900</v>
      </c>
      <c r="K64" s="11">
        <v>600</v>
      </c>
      <c r="L64" s="12">
        <f>바닥판단가!G12</f>
        <v>59676</v>
      </c>
      <c r="M64" s="12">
        <f>바닥판단가!G16</f>
        <v>21190</v>
      </c>
      <c r="N64" s="13">
        <f>바닥판단가!G12 + 바닥판단가!G16</f>
        <v>80866</v>
      </c>
      <c r="P64" s="5"/>
      <c r="Q64" s="13"/>
      <c r="R64" s="13"/>
      <c r="S64" s="13"/>
    </row>
    <row r="65" spans="1:19" ht="21.95" customHeight="1">
      <c r="A65" s="11" t="s">
        <v>14</v>
      </c>
      <c r="B65" s="11" t="s">
        <v>15</v>
      </c>
      <c r="C65" s="11" t="s">
        <v>16</v>
      </c>
      <c r="D65" s="11" t="s">
        <v>17</v>
      </c>
      <c r="E65" s="11" t="s">
        <v>18</v>
      </c>
      <c r="F65" s="11">
        <v>1500</v>
      </c>
      <c r="G65" s="11">
        <v>2200</v>
      </c>
      <c r="H65" s="11">
        <v>1500</v>
      </c>
      <c r="I65" s="11">
        <v>1300</v>
      </c>
      <c r="J65" s="11">
        <v>900</v>
      </c>
      <c r="K65" s="11">
        <v>900</v>
      </c>
      <c r="L65" s="12">
        <f>바닥판단가!G10</f>
        <v>55485</v>
      </c>
      <c r="M65" s="12">
        <f>바닥판단가!G19</f>
        <v>25066</v>
      </c>
      <c r="N65" s="13">
        <f>바닥판단가!G10 + 바닥판단가!G19</f>
        <v>80551</v>
      </c>
      <c r="P65" s="5"/>
      <c r="Q65" s="13"/>
      <c r="R65" s="13"/>
      <c r="S65" s="13"/>
    </row>
    <row r="66" spans="1:19" ht="21.95" customHeight="1">
      <c r="A66" s="11" t="s">
        <v>14</v>
      </c>
      <c r="B66" s="11" t="s">
        <v>15</v>
      </c>
      <c r="C66" s="11" t="s">
        <v>16</v>
      </c>
      <c r="D66" s="11" t="s">
        <v>17</v>
      </c>
      <c r="E66" s="11" t="s">
        <v>18</v>
      </c>
      <c r="F66" s="11">
        <v>1500</v>
      </c>
      <c r="G66" s="11">
        <v>2200</v>
      </c>
      <c r="H66" s="11">
        <v>1500</v>
      </c>
      <c r="I66" s="11">
        <v>1300</v>
      </c>
      <c r="J66" s="11">
        <v>1000</v>
      </c>
      <c r="K66" s="11">
        <v>900</v>
      </c>
      <c r="L66" s="12">
        <f>바닥판단가!G10</f>
        <v>55485</v>
      </c>
      <c r="M66" s="12">
        <f>바닥판단가!G21</f>
        <v>27161</v>
      </c>
      <c r="N66" s="13">
        <f>바닥판단가!G10 + 바닥판단가!G21</f>
        <v>82646</v>
      </c>
      <c r="P66" s="5"/>
      <c r="Q66" s="13"/>
      <c r="R66" s="13"/>
      <c r="S66" s="13"/>
    </row>
    <row r="67" spans="1:19" ht="21.95" customHeight="1">
      <c r="A67" s="11" t="s">
        <v>14</v>
      </c>
      <c r="B67" s="11" t="s">
        <v>15</v>
      </c>
      <c r="C67" s="11" t="s">
        <v>16</v>
      </c>
      <c r="D67" s="11" t="s">
        <v>17</v>
      </c>
      <c r="E67" s="11" t="s">
        <v>18</v>
      </c>
      <c r="F67" s="11">
        <v>1500</v>
      </c>
      <c r="G67" s="11">
        <v>2200</v>
      </c>
      <c r="H67" s="11">
        <v>1500</v>
      </c>
      <c r="I67" s="11">
        <v>1400</v>
      </c>
      <c r="J67" s="11">
        <v>900</v>
      </c>
      <c r="K67" s="11">
        <v>800</v>
      </c>
      <c r="L67" s="12">
        <f>바닥판단가!G11</f>
        <v>57581</v>
      </c>
      <c r="M67" s="12">
        <f>바닥판단가!G18</f>
        <v>23494</v>
      </c>
      <c r="N67" s="13">
        <f>바닥판단가!G11 + 바닥판단가!G18</f>
        <v>81075</v>
      </c>
      <c r="P67" s="5"/>
      <c r="Q67" s="13"/>
      <c r="R67" s="13"/>
      <c r="S67" s="13"/>
    </row>
    <row r="68" spans="1:19" ht="21.95" customHeight="1">
      <c r="A68" s="11" t="s">
        <v>14</v>
      </c>
      <c r="B68" s="11" t="s">
        <v>15</v>
      </c>
      <c r="C68" s="11" t="s">
        <v>16</v>
      </c>
      <c r="D68" s="11" t="s">
        <v>17</v>
      </c>
      <c r="E68" s="11" t="s">
        <v>18</v>
      </c>
      <c r="F68" s="11">
        <v>1500</v>
      </c>
      <c r="G68" s="11">
        <v>2200</v>
      </c>
      <c r="H68" s="11">
        <v>1500</v>
      </c>
      <c r="I68" s="11">
        <v>1500</v>
      </c>
      <c r="J68" s="11">
        <v>900</v>
      </c>
      <c r="K68" s="11">
        <v>700</v>
      </c>
      <c r="L68" s="12">
        <f>바닥판단가!G12</f>
        <v>59676</v>
      </c>
      <c r="M68" s="12">
        <f>바닥판단가!G17</f>
        <v>22342</v>
      </c>
      <c r="N68" s="13">
        <f>바닥판단가!G12 + 바닥판단가!G17</f>
        <v>82018</v>
      </c>
      <c r="P68" s="5"/>
      <c r="Q68" s="13"/>
      <c r="R68" s="13"/>
      <c r="S68" s="13"/>
    </row>
    <row r="69" spans="1:19" ht="21.95" customHeight="1">
      <c r="A69" s="11" t="s">
        <v>14</v>
      </c>
      <c r="B69" s="11" t="s">
        <v>15</v>
      </c>
      <c r="C69" s="11" t="s">
        <v>16</v>
      </c>
      <c r="D69" s="11" t="s">
        <v>17</v>
      </c>
      <c r="E69" s="11" t="s">
        <v>18</v>
      </c>
      <c r="F69" s="11">
        <v>1500</v>
      </c>
      <c r="G69" s="11">
        <v>2200</v>
      </c>
      <c r="H69" s="11">
        <v>1500</v>
      </c>
      <c r="I69" s="11">
        <v>1600</v>
      </c>
      <c r="J69" s="11">
        <v>850</v>
      </c>
      <c r="K69" s="11">
        <v>600</v>
      </c>
      <c r="L69" s="12">
        <f>바닥판단가!G13</f>
        <v>61771</v>
      </c>
      <c r="M69" s="12">
        <f>바닥판단가!G15</f>
        <v>20666</v>
      </c>
      <c r="N69" s="13">
        <f>바닥판단가!G13 + 바닥판단가!G15</f>
        <v>82437</v>
      </c>
      <c r="P69" s="5"/>
      <c r="Q69" s="13"/>
      <c r="R69" s="13"/>
      <c r="S69" s="13"/>
    </row>
    <row r="70" spans="1:19" ht="21.95" customHeight="1">
      <c r="A70" s="11" t="s">
        <v>14</v>
      </c>
      <c r="B70" s="11" t="s">
        <v>15</v>
      </c>
      <c r="C70" s="11" t="s">
        <v>16</v>
      </c>
      <c r="D70" s="11" t="s">
        <v>17</v>
      </c>
      <c r="E70" s="11" t="s">
        <v>18</v>
      </c>
      <c r="F70" s="11">
        <v>1500</v>
      </c>
      <c r="G70" s="11">
        <v>2200</v>
      </c>
      <c r="H70" s="11">
        <v>1500</v>
      </c>
      <c r="I70" s="11">
        <v>1600</v>
      </c>
      <c r="J70" s="11">
        <v>900</v>
      </c>
      <c r="K70" s="11">
        <v>600</v>
      </c>
      <c r="L70" s="12">
        <f>바닥판단가!G13</f>
        <v>61771</v>
      </c>
      <c r="M70" s="12">
        <f>바닥판단가!G16</f>
        <v>21190</v>
      </c>
      <c r="N70" s="13">
        <f>바닥판단가!G13 + 바닥판단가!G16</f>
        <v>82961</v>
      </c>
      <c r="P70" s="5"/>
      <c r="Q70" s="13"/>
      <c r="R70" s="13"/>
      <c r="S70" s="13"/>
    </row>
    <row r="71" spans="1:19" ht="21.95" customHeight="1">
      <c r="A71" s="11" t="s">
        <v>14</v>
      </c>
      <c r="B71" s="11" t="s">
        <v>15</v>
      </c>
      <c r="C71" s="11" t="s">
        <v>16</v>
      </c>
      <c r="D71" s="11" t="s">
        <v>17</v>
      </c>
      <c r="E71" s="11" t="s">
        <v>18</v>
      </c>
      <c r="F71" s="11">
        <v>1500</v>
      </c>
      <c r="G71" s="11">
        <v>2300</v>
      </c>
      <c r="H71" s="11">
        <v>1500</v>
      </c>
      <c r="I71" s="11">
        <v>1300</v>
      </c>
      <c r="J71" s="11">
        <v>1000</v>
      </c>
      <c r="K71" s="11">
        <v>1000</v>
      </c>
      <c r="L71" s="12">
        <f>바닥판단가!G10</f>
        <v>55485</v>
      </c>
      <c r="M71" s="12">
        <f>바닥판단가!G22</f>
        <v>29256</v>
      </c>
      <c r="N71" s="13">
        <f>바닥판단가!G10 + 바닥판단가!G22</f>
        <v>84741</v>
      </c>
      <c r="P71" s="5"/>
      <c r="Q71" s="13"/>
      <c r="R71" s="13"/>
      <c r="S71" s="13"/>
    </row>
    <row r="72" spans="1:19" ht="21.95" customHeight="1">
      <c r="A72" s="11" t="s">
        <v>14</v>
      </c>
      <c r="B72" s="11" t="s">
        <v>15</v>
      </c>
      <c r="C72" s="11" t="s">
        <v>16</v>
      </c>
      <c r="D72" s="11" t="s">
        <v>17</v>
      </c>
      <c r="E72" s="11" t="s">
        <v>18</v>
      </c>
      <c r="F72" s="11">
        <v>1500</v>
      </c>
      <c r="G72" s="11">
        <v>2300</v>
      </c>
      <c r="H72" s="11">
        <v>1500</v>
      </c>
      <c r="I72" s="11">
        <v>1400</v>
      </c>
      <c r="J72" s="11">
        <v>900</v>
      </c>
      <c r="K72" s="11">
        <v>900</v>
      </c>
      <c r="L72" s="12">
        <f>바닥판단가!G11</f>
        <v>57581</v>
      </c>
      <c r="M72" s="12">
        <f>바닥판단가!G19</f>
        <v>25066</v>
      </c>
      <c r="N72" s="13">
        <f>바닥판단가!G11 + 바닥판단가!G19</f>
        <v>82647</v>
      </c>
      <c r="P72" s="5"/>
      <c r="Q72" s="13"/>
      <c r="R72" s="13"/>
      <c r="S72" s="13"/>
    </row>
    <row r="73" spans="1:19" ht="21.95" customHeight="1">
      <c r="A73" s="11" t="s">
        <v>14</v>
      </c>
      <c r="B73" s="11" t="s">
        <v>15</v>
      </c>
      <c r="C73" s="11" t="s">
        <v>16</v>
      </c>
      <c r="D73" s="11" t="s">
        <v>17</v>
      </c>
      <c r="E73" s="11" t="s">
        <v>18</v>
      </c>
      <c r="F73" s="11">
        <v>1500</v>
      </c>
      <c r="G73" s="11">
        <v>2300</v>
      </c>
      <c r="H73" s="11">
        <v>1500</v>
      </c>
      <c r="I73" s="11">
        <v>1400</v>
      </c>
      <c r="J73" s="11">
        <v>1000</v>
      </c>
      <c r="K73" s="11">
        <v>900</v>
      </c>
      <c r="L73" s="12">
        <f>바닥판단가!G11</f>
        <v>57581</v>
      </c>
      <c r="M73" s="12">
        <f>바닥판단가!G21</f>
        <v>27161</v>
      </c>
      <c r="N73" s="13">
        <f>바닥판단가!G11 + 바닥판단가!G21</f>
        <v>84742</v>
      </c>
      <c r="P73" s="5"/>
      <c r="Q73" s="13"/>
      <c r="R73" s="13"/>
      <c r="S73" s="13"/>
    </row>
    <row r="74" spans="1:19" ht="21.95" customHeight="1">
      <c r="A74" s="11" t="s">
        <v>14</v>
      </c>
      <c r="B74" s="11" t="s">
        <v>15</v>
      </c>
      <c r="C74" s="11" t="s">
        <v>16</v>
      </c>
      <c r="D74" s="11" t="s">
        <v>17</v>
      </c>
      <c r="E74" s="11" t="s">
        <v>18</v>
      </c>
      <c r="F74" s="11">
        <v>1500</v>
      </c>
      <c r="G74" s="11">
        <v>2300</v>
      </c>
      <c r="H74" s="11">
        <v>1500</v>
      </c>
      <c r="I74" s="11">
        <v>1500</v>
      </c>
      <c r="J74" s="11">
        <v>900</v>
      </c>
      <c r="K74" s="11">
        <v>800</v>
      </c>
      <c r="L74" s="12">
        <f>바닥판단가!G12</f>
        <v>59676</v>
      </c>
      <c r="M74" s="12">
        <f>바닥판단가!G18</f>
        <v>23494</v>
      </c>
      <c r="N74" s="13">
        <f>바닥판단가!G12 + 바닥판단가!G18</f>
        <v>83170</v>
      </c>
      <c r="P74" s="5"/>
      <c r="Q74" s="13"/>
      <c r="R74" s="13"/>
      <c r="S74" s="13"/>
    </row>
    <row r="75" spans="1:19" ht="21.95" customHeight="1">
      <c r="A75" s="11" t="s">
        <v>14</v>
      </c>
      <c r="B75" s="11" t="s">
        <v>15</v>
      </c>
      <c r="C75" s="11" t="s">
        <v>16</v>
      </c>
      <c r="D75" s="11" t="s">
        <v>17</v>
      </c>
      <c r="E75" s="11" t="s">
        <v>18</v>
      </c>
      <c r="F75" s="11">
        <v>1500</v>
      </c>
      <c r="G75" s="11">
        <v>2300</v>
      </c>
      <c r="H75" s="11">
        <v>1500</v>
      </c>
      <c r="I75" s="11">
        <v>1600</v>
      </c>
      <c r="J75" s="11">
        <v>900</v>
      </c>
      <c r="K75" s="11">
        <v>700</v>
      </c>
      <c r="L75" s="12">
        <f>바닥판단가!G13</f>
        <v>61771</v>
      </c>
      <c r="M75" s="12">
        <f>바닥판단가!G17</f>
        <v>22342</v>
      </c>
      <c r="N75" s="13">
        <f>바닥판단가!G13 + 바닥판단가!G17</f>
        <v>84113</v>
      </c>
      <c r="P75" s="5"/>
      <c r="Q75" s="13"/>
      <c r="R75" s="13"/>
      <c r="S75" s="13"/>
    </row>
    <row r="76" spans="1:19" ht="21.95" customHeight="1">
      <c r="A76" s="11" t="s">
        <v>14</v>
      </c>
      <c r="B76" s="11" t="s">
        <v>15</v>
      </c>
      <c r="C76" s="11" t="s">
        <v>16</v>
      </c>
      <c r="D76" s="11" t="s">
        <v>17</v>
      </c>
      <c r="E76" s="11" t="s">
        <v>18</v>
      </c>
      <c r="F76" s="11">
        <v>1500</v>
      </c>
      <c r="G76" s="11">
        <v>2400</v>
      </c>
      <c r="H76" s="11">
        <v>1500</v>
      </c>
      <c r="I76" s="11">
        <v>1400</v>
      </c>
      <c r="J76" s="11">
        <v>1000</v>
      </c>
      <c r="K76" s="11">
        <v>1000</v>
      </c>
      <c r="L76" s="12">
        <f>바닥판단가!G11</f>
        <v>57581</v>
      </c>
      <c r="M76" s="12">
        <f>바닥판단가!G22</f>
        <v>29256</v>
      </c>
      <c r="N76" s="13">
        <f>바닥판단가!G11 + 바닥판단가!G22</f>
        <v>86837</v>
      </c>
      <c r="P76" s="5"/>
      <c r="Q76" s="13"/>
      <c r="R76" s="13"/>
      <c r="S76" s="13"/>
    </row>
    <row r="77" spans="1:19" ht="21.95" customHeight="1">
      <c r="A77" s="11" t="s">
        <v>14</v>
      </c>
      <c r="B77" s="11" t="s">
        <v>15</v>
      </c>
      <c r="C77" s="11" t="s">
        <v>16</v>
      </c>
      <c r="D77" s="11" t="s">
        <v>17</v>
      </c>
      <c r="E77" s="11" t="s">
        <v>18</v>
      </c>
      <c r="F77" s="11">
        <v>1500</v>
      </c>
      <c r="G77" s="11">
        <v>2400</v>
      </c>
      <c r="H77" s="11">
        <v>1500</v>
      </c>
      <c r="I77" s="11">
        <v>1500</v>
      </c>
      <c r="J77" s="11">
        <v>900</v>
      </c>
      <c r="K77" s="11">
        <v>900</v>
      </c>
      <c r="L77" s="12">
        <f>바닥판단가!G12</f>
        <v>59676</v>
      </c>
      <c r="M77" s="12">
        <f>바닥판단가!G19</f>
        <v>25066</v>
      </c>
      <c r="N77" s="13">
        <f>바닥판단가!G12 + 바닥판단가!G19</f>
        <v>84742</v>
      </c>
      <c r="P77" s="5"/>
      <c r="Q77" s="13"/>
      <c r="R77" s="13"/>
      <c r="S77" s="13"/>
    </row>
    <row r="78" spans="1:19" ht="21.95" customHeight="1">
      <c r="A78" s="11" t="s">
        <v>14</v>
      </c>
      <c r="B78" s="11" t="s">
        <v>15</v>
      </c>
      <c r="C78" s="11" t="s">
        <v>16</v>
      </c>
      <c r="D78" s="11" t="s">
        <v>17</v>
      </c>
      <c r="E78" s="11" t="s">
        <v>18</v>
      </c>
      <c r="F78" s="11">
        <v>1500</v>
      </c>
      <c r="G78" s="11">
        <v>2400</v>
      </c>
      <c r="H78" s="11">
        <v>1500</v>
      </c>
      <c r="I78" s="11">
        <v>1500</v>
      </c>
      <c r="J78" s="11">
        <v>1000</v>
      </c>
      <c r="K78" s="11">
        <v>900</v>
      </c>
      <c r="L78" s="12">
        <f>바닥판단가!G12</f>
        <v>59676</v>
      </c>
      <c r="M78" s="12">
        <f>바닥판단가!G21</f>
        <v>27161</v>
      </c>
      <c r="N78" s="13">
        <f>바닥판단가!G12 + 바닥판단가!G21</f>
        <v>86837</v>
      </c>
      <c r="P78" s="5"/>
      <c r="Q78" s="13"/>
      <c r="R78" s="13"/>
      <c r="S78" s="13"/>
    </row>
    <row r="79" spans="1:19" ht="21.95" customHeight="1">
      <c r="A79" s="11" t="s">
        <v>14</v>
      </c>
      <c r="B79" s="11" t="s">
        <v>15</v>
      </c>
      <c r="C79" s="11" t="s">
        <v>16</v>
      </c>
      <c r="D79" s="11" t="s">
        <v>17</v>
      </c>
      <c r="E79" s="11" t="s">
        <v>18</v>
      </c>
      <c r="F79" s="11">
        <v>1500</v>
      </c>
      <c r="G79" s="11">
        <v>2400</v>
      </c>
      <c r="H79" s="11">
        <v>1500</v>
      </c>
      <c r="I79" s="11">
        <v>1600</v>
      </c>
      <c r="J79" s="11">
        <v>900</v>
      </c>
      <c r="K79" s="11">
        <v>800</v>
      </c>
      <c r="L79" s="12">
        <f>바닥판단가!G13</f>
        <v>61771</v>
      </c>
      <c r="M79" s="12">
        <f>바닥판단가!G18</f>
        <v>23494</v>
      </c>
      <c r="N79" s="13">
        <f>바닥판단가!G13 + 바닥판단가!G18</f>
        <v>85265</v>
      </c>
      <c r="P79" s="5"/>
      <c r="Q79" s="13"/>
      <c r="R79" s="13"/>
      <c r="S79" s="13"/>
    </row>
    <row r="80" spans="1:19" ht="21.95" customHeight="1">
      <c r="A80" s="11" t="s">
        <v>14</v>
      </c>
      <c r="B80" s="11" t="s">
        <v>15</v>
      </c>
      <c r="C80" s="11" t="s">
        <v>16</v>
      </c>
      <c r="D80" s="11" t="s">
        <v>17</v>
      </c>
      <c r="E80" s="11" t="s">
        <v>18</v>
      </c>
      <c r="F80" s="11">
        <v>1500</v>
      </c>
      <c r="G80" s="11">
        <v>2500</v>
      </c>
      <c r="H80" s="11">
        <v>1500</v>
      </c>
      <c r="I80" s="11">
        <v>1500</v>
      </c>
      <c r="J80" s="11">
        <v>1000</v>
      </c>
      <c r="K80" s="11">
        <v>1000</v>
      </c>
      <c r="L80" s="12">
        <f>바닥판단가!G12</f>
        <v>59676</v>
      </c>
      <c r="M80" s="12">
        <f>바닥판단가!G22</f>
        <v>29256</v>
      </c>
      <c r="N80" s="13">
        <f>바닥판단가!G12 + 바닥판단가!G22</f>
        <v>88932</v>
      </c>
      <c r="P80" s="5"/>
      <c r="Q80" s="13"/>
      <c r="R80" s="13"/>
      <c r="S80" s="13"/>
    </row>
    <row r="81" spans="1:19" ht="21.95" customHeight="1">
      <c r="A81" s="11" t="s">
        <v>14</v>
      </c>
      <c r="B81" s="11" t="s">
        <v>15</v>
      </c>
      <c r="C81" s="11" t="s">
        <v>16</v>
      </c>
      <c r="D81" s="11" t="s">
        <v>17</v>
      </c>
      <c r="E81" s="11" t="s">
        <v>18</v>
      </c>
      <c r="F81" s="11">
        <v>1500</v>
      </c>
      <c r="G81" s="11">
        <v>2500</v>
      </c>
      <c r="H81" s="11">
        <v>1500</v>
      </c>
      <c r="I81" s="11">
        <v>1600</v>
      </c>
      <c r="J81" s="11">
        <v>900</v>
      </c>
      <c r="K81" s="11">
        <v>900</v>
      </c>
      <c r="L81" s="12">
        <f>바닥판단가!G13</f>
        <v>61771</v>
      </c>
      <c r="M81" s="12">
        <f>바닥판단가!G19</f>
        <v>25066</v>
      </c>
      <c r="N81" s="13">
        <f>바닥판단가!G13 + 바닥판단가!G19</f>
        <v>86837</v>
      </c>
      <c r="P81" s="5"/>
      <c r="Q81" s="13"/>
      <c r="R81" s="13"/>
      <c r="S81" s="13"/>
    </row>
    <row r="82" spans="1:19" ht="21.95" customHeight="1">
      <c r="A82" s="11" t="s">
        <v>14</v>
      </c>
      <c r="B82" s="11" t="s">
        <v>15</v>
      </c>
      <c r="C82" s="11" t="s">
        <v>16</v>
      </c>
      <c r="D82" s="11" t="s">
        <v>17</v>
      </c>
      <c r="E82" s="11" t="s">
        <v>18</v>
      </c>
      <c r="F82" s="11">
        <v>1500</v>
      </c>
      <c r="G82" s="11">
        <v>2500</v>
      </c>
      <c r="H82" s="11">
        <v>1500</v>
      </c>
      <c r="I82" s="11">
        <v>1600</v>
      </c>
      <c r="J82" s="11">
        <v>1000</v>
      </c>
      <c r="K82" s="11">
        <v>900</v>
      </c>
      <c r="L82" s="12">
        <f>바닥판단가!G13</f>
        <v>61771</v>
      </c>
      <c r="M82" s="12">
        <f>바닥판단가!G21</f>
        <v>27161</v>
      </c>
      <c r="N82" s="13">
        <f>바닥판단가!G13 + 바닥판단가!G21</f>
        <v>88932</v>
      </c>
      <c r="P82" s="5"/>
      <c r="Q82" s="13"/>
      <c r="R82" s="13"/>
      <c r="S82" s="13"/>
    </row>
    <row r="83" spans="1:19" ht="21.95" customHeight="1">
      <c r="A83" s="20" t="s">
        <v>14</v>
      </c>
      <c r="B83" s="20" t="s">
        <v>15</v>
      </c>
      <c r="C83" s="20" t="s">
        <v>16</v>
      </c>
      <c r="D83" s="20" t="s">
        <v>17</v>
      </c>
      <c r="E83" s="20" t="s">
        <v>18</v>
      </c>
      <c r="F83" s="21">
        <v>1600</v>
      </c>
      <c r="G83" s="21">
        <v>2200</v>
      </c>
      <c r="H83" s="21">
        <v>1600</v>
      </c>
      <c r="I83" s="21">
        <v>1300</v>
      </c>
      <c r="J83" s="21">
        <v>900</v>
      </c>
      <c r="K83" s="21">
        <v>900</v>
      </c>
      <c r="L83" s="22">
        <f>바닥판단가!G14</f>
        <v>57790</v>
      </c>
      <c r="M83" s="22">
        <f>바닥판단가!G19</f>
        <v>25066</v>
      </c>
      <c r="N83" s="23">
        <f>바닥판단가!G14 + 바닥판단가!G19</f>
        <v>82856</v>
      </c>
      <c r="P83" s="5"/>
      <c r="Q83" s="13"/>
      <c r="R83" s="13"/>
      <c r="S83" s="13"/>
    </row>
    <row r="84" spans="1:19" ht="21.95" customHeight="1">
      <c r="A84" s="11" t="s">
        <v>14</v>
      </c>
      <c r="B84" s="11" t="s">
        <v>15</v>
      </c>
      <c r="C84" s="11" t="s">
        <v>19</v>
      </c>
      <c r="D84" s="11" t="s">
        <v>17</v>
      </c>
      <c r="E84" s="11" t="s">
        <v>20</v>
      </c>
      <c r="F84" s="11">
        <v>1300</v>
      </c>
      <c r="G84" s="11">
        <v>1300</v>
      </c>
      <c r="H84" s="11" t="s">
        <v>21</v>
      </c>
      <c r="I84" s="11" t="s">
        <v>21</v>
      </c>
      <c r="J84" s="11" t="s">
        <v>21</v>
      </c>
      <c r="K84" s="11" t="s">
        <v>21</v>
      </c>
      <c r="L84" s="11" t="s">
        <v>21</v>
      </c>
      <c r="M84" s="11" t="s">
        <v>21</v>
      </c>
      <c r="N84" s="13">
        <f>바닥판단가!G2</f>
        <v>51610</v>
      </c>
      <c r="P84" s="5"/>
      <c r="Q84" s="13"/>
      <c r="R84" s="13"/>
      <c r="S84" s="13"/>
    </row>
    <row r="85" spans="1:19" ht="21.95" customHeight="1">
      <c r="A85" s="11" t="s">
        <v>14</v>
      </c>
      <c r="B85" s="11" t="s">
        <v>15</v>
      </c>
      <c r="C85" s="11" t="s">
        <v>19</v>
      </c>
      <c r="D85" s="11" t="s">
        <v>17</v>
      </c>
      <c r="E85" s="11" t="s">
        <v>20</v>
      </c>
      <c r="F85" s="11">
        <v>1300</v>
      </c>
      <c r="G85" s="11">
        <v>1400</v>
      </c>
      <c r="H85" s="11" t="s">
        <v>21</v>
      </c>
      <c r="I85" s="11" t="s">
        <v>21</v>
      </c>
      <c r="J85" s="11" t="s">
        <v>21</v>
      </c>
      <c r="K85" s="11" t="s">
        <v>21</v>
      </c>
      <c r="L85" s="11" t="s">
        <v>21</v>
      </c>
      <c r="M85" s="11" t="s">
        <v>21</v>
      </c>
      <c r="N85" s="13">
        <f>바닥판단가!G3</f>
        <v>53600</v>
      </c>
      <c r="O85" s="5"/>
      <c r="P85" s="5"/>
      <c r="Q85" s="13"/>
      <c r="R85" s="13"/>
      <c r="S85" s="13"/>
    </row>
    <row r="86" spans="1:19" ht="21.95" customHeight="1">
      <c r="A86" s="11" t="s">
        <v>14</v>
      </c>
      <c r="B86" s="11" t="s">
        <v>15</v>
      </c>
      <c r="C86" s="11" t="s">
        <v>19</v>
      </c>
      <c r="D86" s="11" t="s">
        <v>17</v>
      </c>
      <c r="E86" s="11" t="s">
        <v>20</v>
      </c>
      <c r="F86" s="11">
        <v>1300</v>
      </c>
      <c r="G86" s="11">
        <v>1500</v>
      </c>
      <c r="H86" s="11" t="s">
        <v>21</v>
      </c>
      <c r="I86" s="11" t="s">
        <v>21</v>
      </c>
      <c r="J86" s="11" t="s">
        <v>21</v>
      </c>
      <c r="K86" s="11" t="s">
        <v>21</v>
      </c>
      <c r="L86" s="11" t="s">
        <v>21</v>
      </c>
      <c r="M86" s="11" t="s">
        <v>21</v>
      </c>
      <c r="N86" s="13">
        <f>바닥판단가!G4</f>
        <v>55485</v>
      </c>
      <c r="O86" s="5"/>
      <c r="P86" s="5"/>
      <c r="Q86" s="13"/>
      <c r="R86" s="13"/>
      <c r="S86" s="13"/>
    </row>
    <row r="87" spans="1:19" ht="21.95" customHeight="1">
      <c r="A87" s="11" t="s">
        <v>14</v>
      </c>
      <c r="B87" s="11" t="s">
        <v>15</v>
      </c>
      <c r="C87" s="11" t="s">
        <v>19</v>
      </c>
      <c r="D87" s="11" t="s">
        <v>17</v>
      </c>
      <c r="E87" s="11" t="s">
        <v>20</v>
      </c>
      <c r="F87" s="11">
        <v>1300</v>
      </c>
      <c r="G87" s="11">
        <v>1600</v>
      </c>
      <c r="H87" s="11" t="s">
        <v>21</v>
      </c>
      <c r="I87" s="11" t="s">
        <v>21</v>
      </c>
      <c r="J87" s="11" t="s">
        <v>21</v>
      </c>
      <c r="K87" s="11" t="s">
        <v>21</v>
      </c>
      <c r="L87" s="11" t="s">
        <v>21</v>
      </c>
      <c r="M87" s="11" t="s">
        <v>21</v>
      </c>
      <c r="N87" s="13">
        <f>바닥판단가!G5</f>
        <v>57790</v>
      </c>
      <c r="O87" s="5"/>
      <c r="P87" s="5"/>
      <c r="Q87" s="13"/>
      <c r="R87" s="13"/>
      <c r="S87" s="13"/>
    </row>
    <row r="88" spans="1:19" ht="21.95" customHeight="1">
      <c r="A88" s="11" t="s">
        <v>14</v>
      </c>
      <c r="B88" s="11" t="s">
        <v>15</v>
      </c>
      <c r="C88" s="11" t="s">
        <v>19</v>
      </c>
      <c r="D88" s="11" t="s">
        <v>17</v>
      </c>
      <c r="E88" s="11" t="s">
        <v>20</v>
      </c>
      <c r="F88" s="11">
        <v>1400</v>
      </c>
      <c r="G88" s="11">
        <v>1300</v>
      </c>
      <c r="H88" s="11" t="s">
        <v>21</v>
      </c>
      <c r="I88" s="11" t="s">
        <v>21</v>
      </c>
      <c r="J88" s="11" t="s">
        <v>21</v>
      </c>
      <c r="K88" s="11" t="s">
        <v>21</v>
      </c>
      <c r="L88" s="11" t="s">
        <v>21</v>
      </c>
      <c r="M88" s="11" t="s">
        <v>21</v>
      </c>
      <c r="N88" s="13">
        <f>바닥판단가!G6</f>
        <v>53600</v>
      </c>
      <c r="O88" s="5"/>
      <c r="P88" s="5"/>
      <c r="Q88" s="13"/>
      <c r="R88" s="13"/>
      <c r="S88" s="13"/>
    </row>
    <row r="89" spans="1:19" ht="21.95" customHeight="1">
      <c r="A89" s="11" t="s">
        <v>14</v>
      </c>
      <c r="B89" s="11" t="s">
        <v>15</v>
      </c>
      <c r="C89" s="11" t="s">
        <v>19</v>
      </c>
      <c r="D89" s="11" t="s">
        <v>17</v>
      </c>
      <c r="E89" s="11" t="s">
        <v>20</v>
      </c>
      <c r="F89" s="11">
        <v>1400</v>
      </c>
      <c r="G89" s="11">
        <v>1400</v>
      </c>
      <c r="H89" s="11" t="s">
        <v>21</v>
      </c>
      <c r="I89" s="11" t="s">
        <v>21</v>
      </c>
      <c r="J89" s="11" t="s">
        <v>21</v>
      </c>
      <c r="K89" s="11" t="s">
        <v>21</v>
      </c>
      <c r="L89" s="11" t="s">
        <v>21</v>
      </c>
      <c r="M89" s="11" t="s">
        <v>21</v>
      </c>
      <c r="N89" s="13">
        <f>바닥판단가!G7</f>
        <v>55695</v>
      </c>
      <c r="O89" s="5"/>
      <c r="P89" s="5"/>
      <c r="Q89" s="13"/>
      <c r="R89" s="13"/>
      <c r="S89" s="13"/>
    </row>
    <row r="90" spans="1:19" ht="21.95" customHeight="1">
      <c r="A90" s="11" t="s">
        <v>14</v>
      </c>
      <c r="B90" s="11" t="s">
        <v>15</v>
      </c>
      <c r="C90" s="11" t="s">
        <v>19</v>
      </c>
      <c r="D90" s="11" t="s">
        <v>17</v>
      </c>
      <c r="E90" s="11" t="s">
        <v>20</v>
      </c>
      <c r="F90" s="11">
        <v>1400</v>
      </c>
      <c r="G90" s="11">
        <v>1500</v>
      </c>
      <c r="H90" s="11" t="s">
        <v>21</v>
      </c>
      <c r="I90" s="11" t="s">
        <v>21</v>
      </c>
      <c r="J90" s="11" t="s">
        <v>21</v>
      </c>
      <c r="K90" s="11" t="s">
        <v>21</v>
      </c>
      <c r="L90" s="11" t="s">
        <v>21</v>
      </c>
      <c r="M90" s="11" t="s">
        <v>21</v>
      </c>
      <c r="N90" s="13">
        <f>바닥판단가!G8</f>
        <v>57581</v>
      </c>
      <c r="O90" s="5"/>
      <c r="P90" s="5"/>
      <c r="Q90" s="13"/>
      <c r="R90" s="13"/>
      <c r="S90" s="13"/>
    </row>
    <row r="91" spans="1:19" ht="21.95" customHeight="1">
      <c r="A91" s="11" t="s">
        <v>14</v>
      </c>
      <c r="B91" s="11" t="s">
        <v>15</v>
      </c>
      <c r="C91" s="11" t="s">
        <v>19</v>
      </c>
      <c r="D91" s="11" t="s">
        <v>17</v>
      </c>
      <c r="E91" s="11" t="s">
        <v>20</v>
      </c>
      <c r="F91" s="11">
        <v>1400</v>
      </c>
      <c r="G91" s="11">
        <v>1600</v>
      </c>
      <c r="H91" s="11" t="s">
        <v>21</v>
      </c>
      <c r="I91" s="11" t="s">
        <v>21</v>
      </c>
      <c r="J91" s="11" t="s">
        <v>21</v>
      </c>
      <c r="K91" s="11" t="s">
        <v>21</v>
      </c>
      <c r="L91" s="11" t="s">
        <v>21</v>
      </c>
      <c r="M91" s="11" t="s">
        <v>21</v>
      </c>
      <c r="N91" s="13">
        <f>바닥판단가!G9</f>
        <v>59676</v>
      </c>
      <c r="O91" s="5"/>
      <c r="P91" s="5"/>
      <c r="Q91" s="13"/>
      <c r="R91" s="13"/>
      <c r="S91" s="13"/>
    </row>
    <row r="92" spans="1:19" ht="21.95" customHeight="1">
      <c r="A92" s="11" t="s">
        <v>14</v>
      </c>
      <c r="B92" s="11" t="s">
        <v>15</v>
      </c>
      <c r="C92" s="11" t="s">
        <v>19</v>
      </c>
      <c r="D92" s="11" t="s">
        <v>17</v>
      </c>
      <c r="E92" s="11" t="s">
        <v>20</v>
      </c>
      <c r="F92" s="11">
        <v>1500</v>
      </c>
      <c r="G92" s="11">
        <v>1300</v>
      </c>
      <c r="H92" s="11" t="s">
        <v>21</v>
      </c>
      <c r="I92" s="11" t="s">
        <v>21</v>
      </c>
      <c r="J92" s="11" t="s">
        <v>21</v>
      </c>
      <c r="K92" s="11" t="s">
        <v>21</v>
      </c>
      <c r="L92" s="11" t="s">
        <v>21</v>
      </c>
      <c r="M92" s="11" t="s">
        <v>21</v>
      </c>
      <c r="N92" s="13">
        <f>바닥판단가!G10</f>
        <v>55485</v>
      </c>
      <c r="O92" s="5"/>
      <c r="P92" s="5"/>
      <c r="Q92" s="13"/>
      <c r="R92" s="13"/>
      <c r="S92" s="13"/>
    </row>
    <row r="93" spans="1:19" ht="21.95" customHeight="1">
      <c r="A93" s="11" t="s">
        <v>14</v>
      </c>
      <c r="B93" s="11" t="s">
        <v>15</v>
      </c>
      <c r="C93" s="11" t="s">
        <v>19</v>
      </c>
      <c r="D93" s="11" t="s">
        <v>17</v>
      </c>
      <c r="E93" s="11" t="s">
        <v>20</v>
      </c>
      <c r="F93" s="11">
        <v>1500</v>
      </c>
      <c r="G93" s="11">
        <v>1400</v>
      </c>
      <c r="H93" s="11" t="s">
        <v>21</v>
      </c>
      <c r="I93" s="11" t="s">
        <v>21</v>
      </c>
      <c r="J93" s="11" t="s">
        <v>21</v>
      </c>
      <c r="K93" s="11" t="s">
        <v>21</v>
      </c>
      <c r="L93" s="11" t="s">
        <v>21</v>
      </c>
      <c r="M93" s="11" t="s">
        <v>21</v>
      </c>
      <c r="N93" s="13">
        <f>바닥판단가!G11</f>
        <v>57581</v>
      </c>
      <c r="O93" s="5"/>
      <c r="P93" s="5"/>
      <c r="Q93" s="13"/>
      <c r="R93" s="13"/>
      <c r="S93" s="13"/>
    </row>
    <row r="94" spans="1:19" ht="21.95" customHeight="1">
      <c r="A94" s="11" t="s">
        <v>14</v>
      </c>
      <c r="B94" s="11" t="s">
        <v>15</v>
      </c>
      <c r="C94" s="11" t="s">
        <v>19</v>
      </c>
      <c r="D94" s="11" t="s">
        <v>17</v>
      </c>
      <c r="E94" s="11" t="s">
        <v>20</v>
      </c>
      <c r="F94" s="11">
        <v>1500</v>
      </c>
      <c r="G94" s="11">
        <v>1500</v>
      </c>
      <c r="H94" s="11" t="s">
        <v>21</v>
      </c>
      <c r="I94" s="11" t="s">
        <v>21</v>
      </c>
      <c r="J94" s="11" t="s">
        <v>21</v>
      </c>
      <c r="K94" s="11" t="s">
        <v>21</v>
      </c>
      <c r="L94" s="11" t="s">
        <v>21</v>
      </c>
      <c r="M94" s="11" t="s">
        <v>21</v>
      </c>
      <c r="N94" s="13">
        <f>바닥판단가!G12</f>
        <v>59676</v>
      </c>
      <c r="O94" s="5"/>
      <c r="P94" s="5"/>
      <c r="Q94" s="13"/>
      <c r="R94" s="13"/>
      <c r="S94" s="13"/>
    </row>
    <row r="95" spans="1:19" ht="21.95" customHeight="1">
      <c r="A95" s="11" t="s">
        <v>14</v>
      </c>
      <c r="B95" s="11" t="s">
        <v>15</v>
      </c>
      <c r="C95" s="11" t="s">
        <v>19</v>
      </c>
      <c r="D95" s="11" t="s">
        <v>17</v>
      </c>
      <c r="E95" s="11" t="s">
        <v>20</v>
      </c>
      <c r="F95" s="11">
        <v>1500</v>
      </c>
      <c r="G95" s="11">
        <v>1600</v>
      </c>
      <c r="H95" s="11" t="s">
        <v>21</v>
      </c>
      <c r="I95" s="11" t="s">
        <v>21</v>
      </c>
      <c r="J95" s="11" t="s">
        <v>21</v>
      </c>
      <c r="K95" s="11" t="s">
        <v>21</v>
      </c>
      <c r="L95" s="11" t="s">
        <v>21</v>
      </c>
      <c r="M95" s="11" t="s">
        <v>21</v>
      </c>
      <c r="N95" s="13">
        <f>바닥판단가!G13</f>
        <v>61771</v>
      </c>
      <c r="O95" s="5"/>
      <c r="P95" s="5"/>
      <c r="Q95" s="13"/>
      <c r="R95" s="13"/>
      <c r="S95" s="13"/>
    </row>
    <row r="96" spans="1:19" ht="21.95" customHeight="1">
      <c r="A96" s="11" t="s">
        <v>14</v>
      </c>
      <c r="B96" s="11" t="s">
        <v>22</v>
      </c>
      <c r="C96" s="11" t="s">
        <v>16</v>
      </c>
      <c r="D96" s="11" t="s">
        <v>17</v>
      </c>
      <c r="E96" s="11" t="s">
        <v>20</v>
      </c>
      <c r="F96" s="11">
        <v>1500</v>
      </c>
      <c r="G96" s="11">
        <v>2300</v>
      </c>
      <c r="H96" s="11" t="s">
        <v>21</v>
      </c>
      <c r="I96" s="11" t="s">
        <v>21</v>
      </c>
      <c r="J96" s="11" t="s">
        <v>21</v>
      </c>
      <c r="K96" s="11" t="s">
        <v>21</v>
      </c>
      <c r="L96" s="11" t="s">
        <v>21</v>
      </c>
      <c r="M96" s="11" t="s">
        <v>21</v>
      </c>
      <c r="N96" s="13">
        <f>바닥판단가!G59</f>
        <v>111636</v>
      </c>
      <c r="O96" s="5"/>
      <c r="P96" s="5"/>
      <c r="Q96" s="13"/>
      <c r="R96" s="13"/>
      <c r="S96" s="13"/>
    </row>
    <row r="97" spans="1:19" ht="21.95" customHeight="1">
      <c r="A97" s="11" t="s">
        <v>14</v>
      </c>
      <c r="B97" s="11" t="s">
        <v>22</v>
      </c>
      <c r="C97" s="11" t="s">
        <v>16</v>
      </c>
      <c r="D97" s="11" t="s">
        <v>17</v>
      </c>
      <c r="E97" s="11" t="s">
        <v>20</v>
      </c>
      <c r="F97" s="11">
        <v>1500</v>
      </c>
      <c r="G97" s="11">
        <v>2400</v>
      </c>
      <c r="H97" s="11" t="s">
        <v>21</v>
      </c>
      <c r="I97" s="11" t="s">
        <v>21</v>
      </c>
      <c r="J97" s="11" t="s">
        <v>21</v>
      </c>
      <c r="K97" s="11" t="s">
        <v>21</v>
      </c>
      <c r="L97" s="11" t="s">
        <v>21</v>
      </c>
      <c r="M97" s="11" t="s">
        <v>21</v>
      </c>
      <c r="N97" s="13">
        <f>바닥판단가!G60</f>
        <v>114255</v>
      </c>
      <c r="O97" s="5"/>
      <c r="P97" s="5"/>
      <c r="Q97" s="13"/>
      <c r="R97" s="13"/>
      <c r="S97" s="13"/>
    </row>
    <row r="98" spans="1:19" ht="21.95" customHeight="1">
      <c r="A98" s="11" t="s">
        <v>14</v>
      </c>
      <c r="B98" s="11" t="s">
        <v>22</v>
      </c>
      <c r="C98" s="11" t="s">
        <v>19</v>
      </c>
      <c r="D98" s="11" t="s">
        <v>17</v>
      </c>
      <c r="E98" s="11" t="s">
        <v>20</v>
      </c>
      <c r="F98" s="11">
        <v>1600</v>
      </c>
      <c r="G98" s="11">
        <v>2400</v>
      </c>
      <c r="H98" s="11" t="s">
        <v>21</v>
      </c>
      <c r="I98" s="11" t="s">
        <v>21</v>
      </c>
      <c r="J98" s="11" t="s">
        <v>21</v>
      </c>
      <c r="K98" s="11" t="s">
        <v>21</v>
      </c>
      <c r="L98" s="11" t="s">
        <v>21</v>
      </c>
      <c r="M98" s="11" t="s">
        <v>21</v>
      </c>
      <c r="N98" s="13">
        <f>바닥판단가!G61</f>
        <v>214100</v>
      </c>
      <c r="O98" s="5"/>
      <c r="P98" s="5"/>
      <c r="Q98" s="13"/>
      <c r="R98" s="13"/>
      <c r="S98" s="13"/>
    </row>
    <row r="99" spans="1:19" ht="21.95" customHeight="1">
      <c r="A99" s="11" t="s">
        <v>14</v>
      </c>
      <c r="B99" s="11" t="s">
        <v>22</v>
      </c>
      <c r="C99" s="11" t="s">
        <v>19</v>
      </c>
      <c r="D99" s="11" t="s">
        <v>23</v>
      </c>
      <c r="E99" s="11" t="s">
        <v>20</v>
      </c>
      <c r="F99" s="11">
        <v>1600</v>
      </c>
      <c r="G99" s="11">
        <v>2400</v>
      </c>
      <c r="H99" s="11" t="s">
        <v>21</v>
      </c>
      <c r="I99" s="11" t="s">
        <v>21</v>
      </c>
      <c r="J99" s="11" t="s">
        <v>21</v>
      </c>
      <c r="K99" s="11" t="s">
        <v>21</v>
      </c>
      <c r="L99" s="11" t="s">
        <v>21</v>
      </c>
      <c r="M99" s="11" t="s">
        <v>21</v>
      </c>
      <c r="N99" s="13">
        <f>바닥판단가!G62</f>
        <v>214100</v>
      </c>
      <c r="O99" s="5"/>
      <c r="P99" s="5"/>
      <c r="Q99" s="13"/>
      <c r="R99" s="13"/>
      <c r="S99" s="13"/>
    </row>
    <row r="100" spans="1:19" ht="21.95" customHeight="1">
      <c r="A100" s="11" t="s">
        <v>24</v>
      </c>
      <c r="B100" s="11" t="s">
        <v>15</v>
      </c>
      <c r="C100" s="11" t="s">
        <v>16</v>
      </c>
      <c r="D100" s="11" t="s">
        <v>17</v>
      </c>
      <c r="E100" s="11" t="s">
        <v>18</v>
      </c>
      <c r="F100" s="11">
        <v>1450</v>
      </c>
      <c r="G100" s="11">
        <v>2100</v>
      </c>
      <c r="H100" s="11">
        <v>1450</v>
      </c>
      <c r="I100" s="11">
        <v>1200</v>
      </c>
      <c r="J100" s="11">
        <v>900</v>
      </c>
      <c r="K100" s="11">
        <v>900</v>
      </c>
      <c r="L100" s="12">
        <f>바닥판단가!G23</f>
        <v>50000</v>
      </c>
      <c r="M100" s="12">
        <f>바닥판단가!G40</f>
        <v>50017</v>
      </c>
      <c r="N100" s="12">
        <f>바닥판단가!G23 + 바닥판단가!G40</f>
        <v>100017</v>
      </c>
    </row>
    <row r="101" spans="1:19" ht="21.95" customHeight="1">
      <c r="A101" s="11" t="s">
        <v>24</v>
      </c>
      <c r="B101" s="11" t="s">
        <v>15</v>
      </c>
      <c r="C101" s="11" t="s">
        <v>16</v>
      </c>
      <c r="D101" s="11" t="s">
        <v>17</v>
      </c>
      <c r="E101" s="11" t="s">
        <v>18</v>
      </c>
      <c r="F101" s="11">
        <v>1500</v>
      </c>
      <c r="G101" s="11">
        <v>2100</v>
      </c>
      <c r="H101" s="11">
        <v>1500</v>
      </c>
      <c r="I101" s="11">
        <v>1200</v>
      </c>
      <c r="J101" s="11">
        <v>900</v>
      </c>
      <c r="K101" s="11">
        <v>900</v>
      </c>
      <c r="L101" s="12">
        <f>바닥판단가!G24</f>
        <v>50001</v>
      </c>
      <c r="M101" s="12">
        <f>바닥판단가!G40</f>
        <v>50017</v>
      </c>
      <c r="N101" s="12">
        <f>바닥판단가!G24 + 바닥판단가!G40</f>
        <v>100018</v>
      </c>
    </row>
    <row r="102" spans="1:19" ht="21.95" customHeight="1">
      <c r="A102" s="11" t="s">
        <v>24</v>
      </c>
      <c r="B102" s="11" t="s">
        <v>15</v>
      </c>
      <c r="C102" s="11" t="s">
        <v>16</v>
      </c>
      <c r="D102" s="11" t="s">
        <v>17</v>
      </c>
      <c r="E102" s="11" t="s">
        <v>18</v>
      </c>
      <c r="F102" s="11">
        <v>1500</v>
      </c>
      <c r="G102" s="11">
        <v>2200</v>
      </c>
      <c r="H102" s="11">
        <v>1500</v>
      </c>
      <c r="I102" s="11">
        <v>1300</v>
      </c>
      <c r="J102" s="11">
        <v>1100</v>
      </c>
      <c r="K102" s="11">
        <v>900</v>
      </c>
      <c r="L102" s="12">
        <f>바닥판단가!G25</f>
        <v>50002</v>
      </c>
      <c r="M102" s="12">
        <f>바닥판단가!G41</f>
        <v>50018</v>
      </c>
      <c r="N102" s="12">
        <f>바닥판단가!G25 + 바닥판단가!G41</f>
        <v>100020</v>
      </c>
    </row>
    <row r="103" spans="1:19" ht="21.95" customHeight="1">
      <c r="A103" s="11" t="s">
        <v>24</v>
      </c>
      <c r="B103" s="11" t="s">
        <v>15</v>
      </c>
      <c r="C103" s="11" t="s">
        <v>16</v>
      </c>
      <c r="D103" s="11" t="s">
        <v>17</v>
      </c>
      <c r="E103" s="11" t="s">
        <v>18</v>
      </c>
      <c r="F103" s="11">
        <v>1500</v>
      </c>
      <c r="G103" s="11">
        <v>2500</v>
      </c>
      <c r="H103" s="11">
        <v>1500</v>
      </c>
      <c r="I103" s="11">
        <v>1400</v>
      </c>
      <c r="J103" s="11">
        <v>900</v>
      </c>
      <c r="K103" s="11">
        <v>1100</v>
      </c>
      <c r="L103" s="12">
        <f>바닥판단가!G26</f>
        <v>50003</v>
      </c>
      <c r="M103" s="12">
        <f>바닥판단가!G42</f>
        <v>50019</v>
      </c>
      <c r="N103" s="12">
        <f>바닥판단가!G26 + 바닥판단가!G42</f>
        <v>100022</v>
      </c>
    </row>
    <row r="104" spans="1:19" ht="21.95" customHeight="1">
      <c r="A104" s="11" t="s">
        <v>24</v>
      </c>
      <c r="B104" s="11" t="s">
        <v>15</v>
      </c>
      <c r="C104" s="11" t="s">
        <v>16</v>
      </c>
      <c r="D104" s="11" t="s">
        <v>17</v>
      </c>
      <c r="E104" s="11" t="s">
        <v>18</v>
      </c>
      <c r="F104" s="11">
        <v>1500</v>
      </c>
      <c r="G104" s="11">
        <v>2600</v>
      </c>
      <c r="H104" s="11">
        <v>1500</v>
      </c>
      <c r="I104" s="11">
        <v>1600</v>
      </c>
      <c r="J104" s="11">
        <v>1000</v>
      </c>
      <c r="K104" s="11">
        <v>1000</v>
      </c>
      <c r="L104" s="12">
        <f>바닥판단가!G27</f>
        <v>50004</v>
      </c>
      <c r="M104" s="12">
        <f>바닥판단가!G43</f>
        <v>50020</v>
      </c>
      <c r="N104" s="12">
        <f>바닥판단가!G27 + 바닥판단가!G43</f>
        <v>100024</v>
      </c>
    </row>
    <row r="105" spans="1:19" ht="21.95" customHeight="1">
      <c r="A105" s="11" t="s">
        <v>24</v>
      </c>
      <c r="B105" s="11" t="s">
        <v>15</v>
      </c>
      <c r="C105" s="11" t="s">
        <v>16</v>
      </c>
      <c r="D105" s="11" t="s">
        <v>17</v>
      </c>
      <c r="E105" s="11" t="s">
        <v>18</v>
      </c>
      <c r="F105" s="11">
        <v>1600</v>
      </c>
      <c r="G105" s="11">
        <v>2200</v>
      </c>
      <c r="H105" s="11">
        <v>1600</v>
      </c>
      <c r="I105" s="11">
        <v>1250</v>
      </c>
      <c r="J105" s="11">
        <v>900</v>
      </c>
      <c r="K105" s="11">
        <v>950</v>
      </c>
      <c r="L105" s="12">
        <f>바닥판단가!G28</f>
        <v>50005</v>
      </c>
      <c r="M105" s="12">
        <f>바닥판단가!G44</f>
        <v>50021</v>
      </c>
      <c r="N105" s="12">
        <f>바닥판단가!G28 + 바닥판단가!G44</f>
        <v>100026</v>
      </c>
    </row>
    <row r="106" spans="1:19" ht="21.95" customHeight="1">
      <c r="A106" s="11" t="s">
        <v>24</v>
      </c>
      <c r="B106" s="11" t="s">
        <v>15</v>
      </c>
      <c r="C106" s="11" t="s">
        <v>16</v>
      </c>
      <c r="D106" s="11" t="s">
        <v>17</v>
      </c>
      <c r="E106" s="11" t="s">
        <v>18</v>
      </c>
      <c r="F106" s="11">
        <v>1600</v>
      </c>
      <c r="G106" s="11">
        <v>2200</v>
      </c>
      <c r="H106" s="11">
        <v>1600</v>
      </c>
      <c r="I106" s="11">
        <v>1300</v>
      </c>
      <c r="J106" s="11">
        <v>900</v>
      </c>
      <c r="K106" s="11">
        <v>900</v>
      </c>
      <c r="L106" s="12">
        <f>바닥판단가!G29</f>
        <v>50006</v>
      </c>
      <c r="M106" s="12">
        <f>바닥판단가!G40</f>
        <v>50017</v>
      </c>
      <c r="N106" s="12">
        <f>바닥판단가!G29 + 바닥판단가!G40</f>
        <v>100023</v>
      </c>
    </row>
    <row r="107" spans="1:19" ht="21.95" customHeight="1">
      <c r="A107" s="11" t="s">
        <v>24</v>
      </c>
      <c r="B107" s="11" t="s">
        <v>15</v>
      </c>
      <c r="C107" s="11" t="s">
        <v>16</v>
      </c>
      <c r="D107" s="11" t="s">
        <v>17</v>
      </c>
      <c r="E107" s="11" t="s">
        <v>18</v>
      </c>
      <c r="F107" s="11">
        <v>1600</v>
      </c>
      <c r="G107" s="11">
        <v>2200</v>
      </c>
      <c r="H107" s="11">
        <v>1300</v>
      </c>
      <c r="I107" s="11">
        <v>1600</v>
      </c>
      <c r="J107" s="11">
        <v>900</v>
      </c>
      <c r="K107" s="11">
        <v>900</v>
      </c>
      <c r="L107" s="12">
        <f>바닥판단가!G30</f>
        <v>50007</v>
      </c>
      <c r="M107" s="12">
        <f>바닥판단가!G40</f>
        <v>50017</v>
      </c>
      <c r="N107" s="12">
        <f>바닥판단가!G30 + 바닥판단가!G40</f>
        <v>100024</v>
      </c>
    </row>
    <row r="108" spans="1:19" ht="21.95" customHeight="1">
      <c r="A108" s="11" t="s">
        <v>24</v>
      </c>
      <c r="B108" s="11" t="s">
        <v>15</v>
      </c>
      <c r="C108" s="11" t="s">
        <v>16</v>
      </c>
      <c r="D108" s="11" t="s">
        <v>17</v>
      </c>
      <c r="E108" s="11" t="s">
        <v>18</v>
      </c>
      <c r="F108" s="11">
        <v>1600</v>
      </c>
      <c r="G108" s="11">
        <v>2300</v>
      </c>
      <c r="H108" s="11">
        <v>1600</v>
      </c>
      <c r="I108" s="11">
        <v>1350</v>
      </c>
      <c r="J108" s="11">
        <v>900</v>
      </c>
      <c r="K108" s="11">
        <v>950</v>
      </c>
      <c r="L108" s="12">
        <f>바닥판단가!G31</f>
        <v>50008</v>
      </c>
      <c r="M108" s="12">
        <f>바닥판단가!G44</f>
        <v>50021</v>
      </c>
      <c r="N108" s="12">
        <f>바닥판단가!G31 + 바닥판단가!G44</f>
        <v>100029</v>
      </c>
    </row>
    <row r="109" spans="1:19" ht="21.95" customHeight="1">
      <c r="A109" s="11" t="s">
        <v>24</v>
      </c>
      <c r="B109" s="11" t="s">
        <v>15</v>
      </c>
      <c r="C109" s="11" t="s">
        <v>16</v>
      </c>
      <c r="D109" s="11" t="s">
        <v>17</v>
      </c>
      <c r="E109" s="11" t="s">
        <v>18</v>
      </c>
      <c r="F109" s="11">
        <v>1700</v>
      </c>
      <c r="G109" s="11">
        <v>2200</v>
      </c>
      <c r="H109" s="11">
        <v>1700</v>
      </c>
      <c r="I109" s="11">
        <v>1250</v>
      </c>
      <c r="J109" s="11">
        <v>1000</v>
      </c>
      <c r="K109" s="11">
        <v>950</v>
      </c>
      <c r="L109" s="12">
        <f>바닥판단가!G32</f>
        <v>50009</v>
      </c>
      <c r="M109" s="12">
        <f>바닥판단가!G45</f>
        <v>50022</v>
      </c>
      <c r="N109" s="12">
        <f>바닥판단가!G32 + 바닥판단가!G45</f>
        <v>100031</v>
      </c>
    </row>
    <row r="110" spans="1:19" ht="21.95" customHeight="1">
      <c r="A110" s="11" t="s">
        <v>24</v>
      </c>
      <c r="B110" s="11" t="s">
        <v>15</v>
      </c>
      <c r="C110" s="11" t="s">
        <v>16</v>
      </c>
      <c r="D110" s="11" t="s">
        <v>17</v>
      </c>
      <c r="E110" s="11" t="s">
        <v>18</v>
      </c>
      <c r="F110" s="11">
        <v>1700</v>
      </c>
      <c r="G110" s="11">
        <v>2300</v>
      </c>
      <c r="H110" s="11">
        <v>1700</v>
      </c>
      <c r="I110" s="11">
        <v>1300</v>
      </c>
      <c r="J110" s="11">
        <v>1000</v>
      </c>
      <c r="K110" s="11">
        <v>1000</v>
      </c>
      <c r="L110" s="12">
        <f>바닥판단가!G33</f>
        <v>50010</v>
      </c>
      <c r="M110" s="12">
        <f>바닥판단가!G43</f>
        <v>50020</v>
      </c>
      <c r="N110" s="12">
        <f>바닥판단가!G33 + 바닥판단가!G43</f>
        <v>100030</v>
      </c>
    </row>
    <row r="111" spans="1:19" ht="21.95" customHeight="1">
      <c r="A111" s="11" t="s">
        <v>24</v>
      </c>
      <c r="B111" s="11" t="s">
        <v>15</v>
      </c>
      <c r="C111" s="11" t="s">
        <v>16</v>
      </c>
      <c r="D111" s="11" t="s">
        <v>17</v>
      </c>
      <c r="E111" s="11" t="s">
        <v>18</v>
      </c>
      <c r="F111" s="11">
        <v>1700</v>
      </c>
      <c r="G111" s="11">
        <v>2400</v>
      </c>
      <c r="H111" s="11">
        <v>1700</v>
      </c>
      <c r="I111" s="11">
        <v>1350</v>
      </c>
      <c r="J111" s="11">
        <v>1050</v>
      </c>
      <c r="K111" s="11">
        <v>1050</v>
      </c>
      <c r="L111" s="12">
        <f>바닥판단가!G34</f>
        <v>50011</v>
      </c>
      <c r="M111" s="12">
        <f>바닥판단가!G46</f>
        <v>50023</v>
      </c>
      <c r="N111" s="12">
        <f>바닥판단가!G34 + 바닥판단가!G46</f>
        <v>100034</v>
      </c>
    </row>
    <row r="112" spans="1:19" ht="21.95" customHeight="1">
      <c r="A112" s="11" t="s">
        <v>24</v>
      </c>
      <c r="B112" s="11" t="s">
        <v>15</v>
      </c>
      <c r="C112" s="11" t="s">
        <v>16</v>
      </c>
      <c r="D112" s="11" t="s">
        <v>17</v>
      </c>
      <c r="E112" s="11" t="s">
        <v>18</v>
      </c>
      <c r="F112" s="11">
        <v>1700</v>
      </c>
      <c r="G112" s="11">
        <v>2500</v>
      </c>
      <c r="H112" s="11">
        <v>1700</v>
      </c>
      <c r="I112" s="11">
        <v>1400</v>
      </c>
      <c r="J112" s="11">
        <v>1000</v>
      </c>
      <c r="K112" s="11">
        <v>1100</v>
      </c>
      <c r="L112" s="12">
        <f>바닥판단가!G35</f>
        <v>50012</v>
      </c>
      <c r="M112" s="12">
        <f>바닥판단가!G47</f>
        <v>50024</v>
      </c>
      <c r="N112" s="12">
        <f>바닥판단가!G35 + 바닥판단가!G47</f>
        <v>100036</v>
      </c>
    </row>
    <row r="113" spans="1:15" ht="21.95" customHeight="1">
      <c r="A113" s="11" t="s">
        <v>24</v>
      </c>
      <c r="B113" s="11" t="s">
        <v>15</v>
      </c>
      <c r="C113" s="11" t="s">
        <v>16</v>
      </c>
      <c r="D113" s="11" t="s">
        <v>17</v>
      </c>
      <c r="E113" s="11" t="s">
        <v>18</v>
      </c>
      <c r="F113" s="11">
        <v>1800</v>
      </c>
      <c r="G113" s="11">
        <v>2200</v>
      </c>
      <c r="H113" s="11">
        <v>1800</v>
      </c>
      <c r="I113" s="11">
        <v>1300</v>
      </c>
      <c r="J113" s="11">
        <v>1100</v>
      </c>
      <c r="K113" s="11">
        <v>900</v>
      </c>
      <c r="L113" s="12">
        <f>바닥판단가!G36</f>
        <v>50013</v>
      </c>
      <c r="M113" s="12">
        <f>바닥판단가!G41</f>
        <v>50018</v>
      </c>
      <c r="N113" s="12">
        <f>바닥판단가!G36 + 바닥판단가!G41</f>
        <v>100031</v>
      </c>
    </row>
    <row r="114" spans="1:15" ht="21.95" customHeight="1">
      <c r="A114" s="11" t="s">
        <v>24</v>
      </c>
      <c r="B114" s="11" t="s">
        <v>15</v>
      </c>
      <c r="C114" s="11" t="s">
        <v>16</v>
      </c>
      <c r="D114" s="11" t="s">
        <v>17</v>
      </c>
      <c r="E114" s="11" t="s">
        <v>18</v>
      </c>
      <c r="F114" s="11">
        <v>1800</v>
      </c>
      <c r="G114" s="11">
        <v>2300</v>
      </c>
      <c r="H114" s="11">
        <v>1800</v>
      </c>
      <c r="I114" s="11">
        <v>1300</v>
      </c>
      <c r="J114" s="11">
        <v>1100</v>
      </c>
      <c r="K114" s="11">
        <v>1000</v>
      </c>
      <c r="L114" s="12">
        <f>바닥판단가!G36</f>
        <v>50013</v>
      </c>
      <c r="M114" s="12">
        <f>바닥판단가!G48</f>
        <v>50025</v>
      </c>
      <c r="N114" s="12">
        <f>바닥판단가!G36 + 바닥판단가!G48</f>
        <v>100038</v>
      </c>
    </row>
    <row r="115" spans="1:15" ht="21.95" customHeight="1">
      <c r="A115" s="11" t="s">
        <v>24</v>
      </c>
      <c r="B115" s="11" t="s">
        <v>15</v>
      </c>
      <c r="C115" s="11" t="s">
        <v>16</v>
      </c>
      <c r="D115" s="11" t="s">
        <v>17</v>
      </c>
      <c r="E115" s="11" t="s">
        <v>18</v>
      </c>
      <c r="F115" s="11">
        <v>1800</v>
      </c>
      <c r="G115" s="11">
        <v>2600</v>
      </c>
      <c r="H115" s="11">
        <v>1800</v>
      </c>
      <c r="I115" s="11">
        <v>1800</v>
      </c>
      <c r="J115" s="11">
        <v>900</v>
      </c>
      <c r="K115" s="11">
        <v>800</v>
      </c>
      <c r="L115" s="12">
        <f>바닥판단가!G37</f>
        <v>50014</v>
      </c>
      <c r="M115" s="12">
        <f>바닥판단가!G49</f>
        <v>50026</v>
      </c>
      <c r="N115" s="12">
        <f>바닥판단가!G37 + 바닥판단가!G49</f>
        <v>100040</v>
      </c>
    </row>
    <row r="116" spans="1:15" ht="21.95" customHeight="1">
      <c r="A116" s="11" t="s">
        <v>24</v>
      </c>
      <c r="B116" s="11" t="s">
        <v>15</v>
      </c>
      <c r="C116" s="11" t="s">
        <v>19</v>
      </c>
      <c r="D116" s="11" t="s">
        <v>17</v>
      </c>
      <c r="E116" s="11" t="s">
        <v>20</v>
      </c>
      <c r="F116" s="11">
        <v>1200</v>
      </c>
      <c r="G116" s="11">
        <v>1900</v>
      </c>
      <c r="H116" s="11" t="s">
        <v>21</v>
      </c>
      <c r="I116" s="11" t="s">
        <v>21</v>
      </c>
      <c r="J116" s="11" t="s">
        <v>21</v>
      </c>
      <c r="K116" s="11" t="s">
        <v>21</v>
      </c>
      <c r="L116" s="11" t="s">
        <v>21</v>
      </c>
      <c r="M116" s="11" t="s">
        <v>21</v>
      </c>
      <c r="N116" s="12">
        <f>바닥판단가!G50</f>
        <v>50027</v>
      </c>
    </row>
    <row r="117" spans="1:15" ht="21.95" customHeight="1">
      <c r="A117" s="11" t="s">
        <v>24</v>
      </c>
      <c r="B117" s="11" t="s">
        <v>15</v>
      </c>
      <c r="C117" s="11" t="s">
        <v>19</v>
      </c>
      <c r="D117" s="11" t="s">
        <v>17</v>
      </c>
      <c r="E117" s="11" t="s">
        <v>20</v>
      </c>
      <c r="F117" s="11">
        <v>1400</v>
      </c>
      <c r="G117" s="11">
        <v>1900</v>
      </c>
      <c r="H117" s="11" t="s">
        <v>21</v>
      </c>
      <c r="I117" s="11" t="s">
        <v>21</v>
      </c>
      <c r="J117" s="11" t="s">
        <v>21</v>
      </c>
      <c r="K117" s="11" t="s">
        <v>21</v>
      </c>
      <c r="L117" s="11" t="s">
        <v>21</v>
      </c>
      <c r="M117" s="11" t="s">
        <v>21</v>
      </c>
      <c r="N117" s="12">
        <f>바닥판단가!G51</f>
        <v>50028</v>
      </c>
    </row>
    <row r="118" spans="1:15" ht="21.95" customHeight="1">
      <c r="A118" s="11" t="s">
        <v>24</v>
      </c>
      <c r="B118" s="11" t="s">
        <v>15</v>
      </c>
      <c r="C118" s="11" t="s">
        <v>19</v>
      </c>
      <c r="D118" s="11" t="s">
        <v>17</v>
      </c>
      <c r="E118" s="11" t="s">
        <v>18</v>
      </c>
      <c r="F118" s="11">
        <v>1400</v>
      </c>
      <c r="G118" s="11">
        <v>2050</v>
      </c>
      <c r="H118" s="11">
        <v>1400</v>
      </c>
      <c r="I118" s="11">
        <v>1300</v>
      </c>
      <c r="J118" s="11">
        <v>1400</v>
      </c>
      <c r="K118" s="11">
        <v>750</v>
      </c>
      <c r="L118" s="12">
        <f>바닥판단가!G38</f>
        <v>50015</v>
      </c>
      <c r="M118" s="12">
        <f>바닥판단가!G52</f>
        <v>50029</v>
      </c>
      <c r="N118" s="12">
        <f t="shared" ref="N118:N125" si="0">L118+M118</f>
        <v>100044</v>
      </c>
    </row>
    <row r="119" spans="1:15" ht="21.95" customHeight="1">
      <c r="A119" s="11" t="s">
        <v>24</v>
      </c>
      <c r="B119" s="11" t="s">
        <v>15</v>
      </c>
      <c r="C119" s="11" t="s">
        <v>19</v>
      </c>
      <c r="D119" s="11" t="s">
        <v>17</v>
      </c>
      <c r="E119" s="11" t="s">
        <v>18</v>
      </c>
      <c r="F119" s="11">
        <v>1400</v>
      </c>
      <c r="G119" s="11">
        <v>2100</v>
      </c>
      <c r="H119" s="11">
        <v>1400</v>
      </c>
      <c r="I119" s="11">
        <v>1300</v>
      </c>
      <c r="J119" s="11">
        <v>1400</v>
      </c>
      <c r="K119" s="11">
        <v>800</v>
      </c>
      <c r="L119" s="12">
        <f>바닥판단가!G38</f>
        <v>50015</v>
      </c>
      <c r="M119" s="12">
        <f>바닥판단가!G53</f>
        <v>50030</v>
      </c>
      <c r="N119" s="12">
        <f t="shared" si="0"/>
        <v>100045</v>
      </c>
    </row>
    <row r="120" spans="1:15" ht="21.95" customHeight="1">
      <c r="A120" s="11" t="s">
        <v>24</v>
      </c>
      <c r="B120" s="11" t="s">
        <v>15</v>
      </c>
      <c r="C120" s="11" t="s">
        <v>19</v>
      </c>
      <c r="D120" s="11" t="s">
        <v>17</v>
      </c>
      <c r="E120" s="11" t="s">
        <v>18</v>
      </c>
      <c r="F120" s="11">
        <v>1500</v>
      </c>
      <c r="G120" s="11">
        <v>2000</v>
      </c>
      <c r="H120" s="11">
        <v>1500</v>
      </c>
      <c r="I120" s="11">
        <v>1300</v>
      </c>
      <c r="J120" s="11">
        <v>1500</v>
      </c>
      <c r="K120" s="11">
        <v>700</v>
      </c>
      <c r="L120" s="12">
        <f>바닥판단가!G25</f>
        <v>50002</v>
      </c>
      <c r="M120" s="12">
        <f>바닥판단가!G54</f>
        <v>50031</v>
      </c>
      <c r="N120" s="12">
        <f t="shared" si="0"/>
        <v>100033</v>
      </c>
    </row>
    <row r="121" spans="1:15" ht="21.95" customHeight="1">
      <c r="A121" s="11" t="s">
        <v>24</v>
      </c>
      <c r="B121" s="11" t="s">
        <v>15</v>
      </c>
      <c r="C121" s="11" t="s">
        <v>19</v>
      </c>
      <c r="D121" s="11" t="s">
        <v>17</v>
      </c>
      <c r="E121" s="11" t="s">
        <v>18</v>
      </c>
      <c r="F121" s="11">
        <v>1500</v>
      </c>
      <c r="G121" s="11">
        <v>2100</v>
      </c>
      <c r="H121" s="11">
        <v>1500</v>
      </c>
      <c r="I121" s="11">
        <v>1300</v>
      </c>
      <c r="J121" s="11">
        <v>1500</v>
      </c>
      <c r="K121" s="11">
        <v>800</v>
      </c>
      <c r="L121" s="12">
        <f>바닥판단가!G25</f>
        <v>50002</v>
      </c>
      <c r="M121" s="12">
        <f>바닥판단가!G55</f>
        <v>50032</v>
      </c>
      <c r="N121" s="12">
        <f t="shared" si="0"/>
        <v>100034</v>
      </c>
    </row>
    <row r="122" spans="1:15" ht="21.95" customHeight="1">
      <c r="A122" s="11" t="s">
        <v>24</v>
      </c>
      <c r="B122" s="11" t="s">
        <v>15</v>
      </c>
      <c r="C122" s="11" t="s">
        <v>19</v>
      </c>
      <c r="D122" s="11" t="s">
        <v>17</v>
      </c>
      <c r="E122" s="11" t="s">
        <v>18</v>
      </c>
      <c r="F122" s="11">
        <v>1500</v>
      </c>
      <c r="G122" s="11">
        <v>2200</v>
      </c>
      <c r="H122" s="11">
        <v>1500</v>
      </c>
      <c r="I122" s="11">
        <v>1400</v>
      </c>
      <c r="J122" s="11">
        <v>1500</v>
      </c>
      <c r="K122" s="11">
        <v>800</v>
      </c>
      <c r="L122" s="12">
        <f>바닥판단가!G26</f>
        <v>50003</v>
      </c>
      <c r="M122" s="12">
        <f>바닥판단가!G55</f>
        <v>50032</v>
      </c>
      <c r="N122" s="12">
        <f t="shared" si="0"/>
        <v>100035</v>
      </c>
    </row>
    <row r="123" spans="1:15" ht="21.95" customHeight="1">
      <c r="A123" s="11" t="s">
        <v>24</v>
      </c>
      <c r="B123" s="11" t="s">
        <v>15</v>
      </c>
      <c r="C123" s="11" t="s">
        <v>19</v>
      </c>
      <c r="D123" s="11" t="s">
        <v>17</v>
      </c>
      <c r="E123" s="11" t="s">
        <v>18</v>
      </c>
      <c r="F123" s="11">
        <v>1500</v>
      </c>
      <c r="G123" s="11">
        <v>2300</v>
      </c>
      <c r="H123" s="11">
        <v>1500</v>
      </c>
      <c r="I123" s="11">
        <v>1400</v>
      </c>
      <c r="J123" s="11">
        <v>1500</v>
      </c>
      <c r="K123" s="11">
        <v>900</v>
      </c>
      <c r="L123" s="12">
        <f>바닥판단가!G26</f>
        <v>50003</v>
      </c>
      <c r="M123" s="12">
        <f>바닥판단가!G56</f>
        <v>50033</v>
      </c>
      <c r="N123" s="12">
        <f t="shared" si="0"/>
        <v>100036</v>
      </c>
    </row>
    <row r="124" spans="1:15" ht="21.95" customHeight="1">
      <c r="A124" s="11" t="s">
        <v>24</v>
      </c>
      <c r="B124" s="11" t="s">
        <v>15</v>
      </c>
      <c r="C124" s="11" t="s">
        <v>19</v>
      </c>
      <c r="D124" s="11" t="s">
        <v>17</v>
      </c>
      <c r="E124" s="11" t="s">
        <v>18</v>
      </c>
      <c r="F124" s="11">
        <v>1600</v>
      </c>
      <c r="G124" s="11">
        <v>2200</v>
      </c>
      <c r="H124" s="11">
        <v>1600</v>
      </c>
      <c r="I124" s="11">
        <v>1400</v>
      </c>
      <c r="J124" s="11">
        <v>1600</v>
      </c>
      <c r="K124" s="11">
        <v>800</v>
      </c>
      <c r="L124" s="12">
        <f>바닥판단가!G39</f>
        <v>50016</v>
      </c>
      <c r="M124" s="12">
        <f>바닥판단가!G57</f>
        <v>50034</v>
      </c>
      <c r="N124" s="12">
        <f t="shared" si="0"/>
        <v>100050</v>
      </c>
    </row>
    <row r="125" spans="1:15" ht="21.95" customHeight="1">
      <c r="A125" s="11" t="s">
        <v>24</v>
      </c>
      <c r="B125" s="11" t="s">
        <v>15</v>
      </c>
      <c r="C125" s="11" t="s">
        <v>19</v>
      </c>
      <c r="D125" s="11" t="s">
        <v>17</v>
      </c>
      <c r="E125" s="11" t="s">
        <v>18</v>
      </c>
      <c r="F125" s="11">
        <v>1600</v>
      </c>
      <c r="G125" s="11">
        <v>2300</v>
      </c>
      <c r="H125" s="11">
        <v>1600</v>
      </c>
      <c r="I125" s="11">
        <v>1400</v>
      </c>
      <c r="J125" s="11">
        <v>1600</v>
      </c>
      <c r="K125" s="11">
        <v>900</v>
      </c>
      <c r="L125" s="12">
        <f>바닥판단가!G39</f>
        <v>50016</v>
      </c>
      <c r="M125" s="12">
        <f>바닥판단가!G58</f>
        <v>50035</v>
      </c>
      <c r="N125" s="12">
        <f t="shared" si="0"/>
        <v>100051</v>
      </c>
    </row>
    <row r="126" spans="1:15" ht="21.95" customHeight="1">
      <c r="A126" s="11" t="s">
        <v>14</v>
      </c>
      <c r="B126" s="11" t="s">
        <v>25</v>
      </c>
      <c r="C126" s="11" t="s">
        <v>16</v>
      </c>
      <c r="D126" s="11" t="s">
        <v>17</v>
      </c>
      <c r="E126" s="11" t="s">
        <v>20</v>
      </c>
      <c r="F126" s="11">
        <v>1400</v>
      </c>
      <c r="G126" s="11">
        <v>2100</v>
      </c>
      <c r="H126" s="11" t="s">
        <v>21</v>
      </c>
      <c r="I126" s="11" t="s">
        <v>21</v>
      </c>
      <c r="J126" s="11" t="s">
        <v>21</v>
      </c>
      <c r="K126" s="11" t="s">
        <v>21</v>
      </c>
      <c r="L126" s="11" t="s">
        <v>21</v>
      </c>
      <c r="M126" s="11" t="s">
        <v>21</v>
      </c>
      <c r="N126" s="12">
        <f>바닥판단가!G63</f>
        <v>77613</v>
      </c>
      <c r="O126" s="12"/>
    </row>
    <row r="127" spans="1:15" ht="21.95" customHeight="1">
      <c r="A127" s="11" t="s">
        <v>14</v>
      </c>
      <c r="B127" s="11" t="s">
        <v>25</v>
      </c>
      <c r="C127" s="11" t="s">
        <v>16</v>
      </c>
      <c r="D127" s="11" t="s">
        <v>17</v>
      </c>
      <c r="E127" s="11" t="s">
        <v>20</v>
      </c>
      <c r="F127" s="11">
        <v>1400</v>
      </c>
      <c r="G127" s="11">
        <v>2200</v>
      </c>
      <c r="H127" s="11" t="s">
        <v>21</v>
      </c>
      <c r="I127" s="11" t="s">
        <v>21</v>
      </c>
      <c r="J127" s="11" t="s">
        <v>21</v>
      </c>
      <c r="K127" s="11" t="s">
        <v>21</v>
      </c>
      <c r="L127" s="11" t="s">
        <v>21</v>
      </c>
      <c r="M127" s="11" t="s">
        <v>21</v>
      </c>
      <c r="N127" s="12">
        <f>바닥판단가!G64</f>
        <v>78661</v>
      </c>
    </row>
    <row r="128" spans="1:15" ht="21.95" customHeight="1">
      <c r="A128" s="11" t="s">
        <v>14</v>
      </c>
      <c r="B128" s="11" t="s">
        <v>25</v>
      </c>
      <c r="C128" s="11" t="s">
        <v>16</v>
      </c>
      <c r="D128" s="11" t="s">
        <v>17</v>
      </c>
      <c r="E128" s="11" t="s">
        <v>20</v>
      </c>
      <c r="F128" s="11">
        <v>1500</v>
      </c>
      <c r="G128" s="11">
        <v>2100</v>
      </c>
      <c r="H128" s="11" t="s">
        <v>21</v>
      </c>
      <c r="I128" s="11" t="s">
        <v>21</v>
      </c>
      <c r="J128" s="11" t="s">
        <v>21</v>
      </c>
      <c r="K128" s="11" t="s">
        <v>21</v>
      </c>
      <c r="L128" s="11" t="s">
        <v>21</v>
      </c>
      <c r="M128" s="11" t="s">
        <v>21</v>
      </c>
      <c r="N128" s="12">
        <f>바닥판단가!G65</f>
        <v>79813</v>
      </c>
    </row>
    <row r="129" spans="1:14" ht="21.95" customHeight="1">
      <c r="A129" s="11" t="s">
        <v>14</v>
      </c>
      <c r="B129" s="11" t="s">
        <v>25</v>
      </c>
      <c r="C129" s="11" t="s">
        <v>16</v>
      </c>
      <c r="D129" s="11" t="s">
        <v>17</v>
      </c>
      <c r="E129" s="11" t="s">
        <v>20</v>
      </c>
      <c r="F129" s="11">
        <v>1500</v>
      </c>
      <c r="G129" s="11">
        <v>2200</v>
      </c>
      <c r="H129" s="11" t="s">
        <v>21</v>
      </c>
      <c r="I129" s="11" t="s">
        <v>21</v>
      </c>
      <c r="J129" s="11" t="s">
        <v>21</v>
      </c>
      <c r="K129" s="11" t="s">
        <v>21</v>
      </c>
      <c r="L129" s="11" t="s">
        <v>21</v>
      </c>
      <c r="M129" s="11" t="s">
        <v>21</v>
      </c>
      <c r="N129" s="12">
        <f>바닥판단가!G66</f>
        <v>80860</v>
      </c>
    </row>
    <row r="130" spans="1:14" ht="21.95" customHeight="1">
      <c r="A130" s="11" t="s">
        <v>14</v>
      </c>
      <c r="B130" s="11" t="s">
        <v>25</v>
      </c>
      <c r="C130" s="11" t="s">
        <v>19</v>
      </c>
      <c r="D130" s="11" t="s">
        <v>23</v>
      </c>
      <c r="E130" s="11" t="s">
        <v>20</v>
      </c>
      <c r="F130" s="11">
        <v>1500</v>
      </c>
      <c r="G130" s="11">
        <v>2000</v>
      </c>
      <c r="H130" s="11" t="s">
        <v>21</v>
      </c>
      <c r="I130" s="11" t="s">
        <v>21</v>
      </c>
      <c r="J130" s="11" t="s">
        <v>21</v>
      </c>
      <c r="K130" s="11" t="s">
        <v>21</v>
      </c>
      <c r="L130" s="11" t="s">
        <v>21</v>
      </c>
      <c r="M130" s="11" t="s">
        <v>21</v>
      </c>
      <c r="N130" s="12">
        <f>바닥판단가!G67</f>
        <v>81839</v>
      </c>
    </row>
    <row r="131" spans="1:14" ht="21.95" customHeight="1">
      <c r="A131" s="11" t="s">
        <v>14</v>
      </c>
      <c r="B131" s="11" t="s">
        <v>26</v>
      </c>
      <c r="C131" s="11" t="s">
        <v>19</v>
      </c>
      <c r="D131" s="11" t="s">
        <v>17</v>
      </c>
      <c r="E131" s="11" t="s">
        <v>20</v>
      </c>
      <c r="F131" s="11">
        <v>1200</v>
      </c>
      <c r="G131" s="11">
        <v>1400</v>
      </c>
      <c r="H131" s="11" t="s">
        <v>21</v>
      </c>
      <c r="I131" s="11" t="s">
        <v>21</v>
      </c>
      <c r="J131" s="11" t="s">
        <v>21</v>
      </c>
      <c r="K131" s="11" t="s">
        <v>21</v>
      </c>
      <c r="L131" s="11" t="s">
        <v>21</v>
      </c>
      <c r="M131" s="11" t="s">
        <v>21</v>
      </c>
      <c r="N131" s="12">
        <f>바닥판단가!G68</f>
        <v>75324</v>
      </c>
    </row>
    <row r="132" spans="1:14" ht="21.95" customHeight="1">
      <c r="A132" s="11" t="s">
        <v>14</v>
      </c>
      <c r="B132" s="11" t="s">
        <v>26</v>
      </c>
      <c r="C132" s="11" t="s">
        <v>19</v>
      </c>
      <c r="D132" s="11" t="s">
        <v>17</v>
      </c>
      <c r="E132" s="11" t="s">
        <v>20</v>
      </c>
      <c r="F132" s="11">
        <v>1300</v>
      </c>
      <c r="G132" s="11">
        <v>1500</v>
      </c>
      <c r="H132" s="11" t="s">
        <v>21</v>
      </c>
      <c r="I132" s="11" t="s">
        <v>21</v>
      </c>
      <c r="J132" s="11" t="s">
        <v>21</v>
      </c>
      <c r="K132" s="11" t="s">
        <v>21</v>
      </c>
      <c r="L132" s="11" t="s">
        <v>21</v>
      </c>
      <c r="M132" s="11" t="s">
        <v>21</v>
      </c>
      <c r="N132" s="12">
        <f>바닥판단가!G69</f>
        <v>79865</v>
      </c>
    </row>
    <row r="133" spans="1:14" ht="21.95" customHeight="1">
      <c r="A133" s="11" t="s">
        <v>14</v>
      </c>
      <c r="B133" s="11" t="s">
        <v>26</v>
      </c>
      <c r="C133" s="11" t="s">
        <v>19</v>
      </c>
      <c r="D133" s="11" t="s">
        <v>17</v>
      </c>
      <c r="E133" s="11" t="s">
        <v>20</v>
      </c>
      <c r="F133" s="11">
        <v>1400</v>
      </c>
      <c r="G133" s="11">
        <v>1800</v>
      </c>
      <c r="H133" s="11" t="s">
        <v>21</v>
      </c>
      <c r="I133" s="11" t="s">
        <v>21</v>
      </c>
      <c r="J133" s="11" t="s">
        <v>21</v>
      </c>
      <c r="K133" s="11" t="s">
        <v>21</v>
      </c>
      <c r="L133" s="11" t="s">
        <v>21</v>
      </c>
      <c r="M133" s="11" t="s">
        <v>21</v>
      </c>
      <c r="N133" s="12">
        <f>바닥판단가!G70</f>
        <v>94785</v>
      </c>
    </row>
    <row r="134" spans="1:14" ht="21.95" customHeight="1">
      <c r="A134" s="11" t="s">
        <v>14</v>
      </c>
      <c r="B134" s="11" t="s">
        <v>26</v>
      </c>
      <c r="C134" s="11" t="s">
        <v>19</v>
      </c>
      <c r="D134" s="11" t="s">
        <v>23</v>
      </c>
      <c r="E134" s="11" t="s">
        <v>20</v>
      </c>
      <c r="F134" s="11">
        <v>1300</v>
      </c>
      <c r="G134" s="11">
        <v>1900</v>
      </c>
      <c r="H134" s="11" t="s">
        <v>21</v>
      </c>
      <c r="I134" s="11" t="s">
        <v>21</v>
      </c>
      <c r="J134" s="11" t="s">
        <v>21</v>
      </c>
      <c r="K134" s="11" t="s">
        <v>21</v>
      </c>
      <c r="L134" s="11" t="s">
        <v>21</v>
      </c>
      <c r="M134" s="11" t="s">
        <v>21</v>
      </c>
      <c r="N134" s="12">
        <f>바닥판단가!G71</f>
        <v>91562</v>
      </c>
    </row>
    <row r="135" spans="1:14" ht="21.95" customHeight="1">
      <c r="A135" s="11" t="s">
        <v>14</v>
      </c>
      <c r="B135" s="11" t="s">
        <v>26</v>
      </c>
      <c r="C135" s="11" t="s">
        <v>19</v>
      </c>
      <c r="D135" s="11" t="s">
        <v>23</v>
      </c>
      <c r="E135" s="11" t="s">
        <v>20</v>
      </c>
      <c r="F135" s="11">
        <v>1500</v>
      </c>
      <c r="G135" s="11">
        <v>1900</v>
      </c>
      <c r="H135" s="11" t="s">
        <v>21</v>
      </c>
      <c r="I135" s="11" t="s">
        <v>21</v>
      </c>
      <c r="J135" s="11" t="s">
        <v>21</v>
      </c>
      <c r="K135" s="11" t="s">
        <v>21</v>
      </c>
      <c r="L135" s="11" t="s">
        <v>21</v>
      </c>
      <c r="M135" s="11" t="s">
        <v>21</v>
      </c>
      <c r="N135" s="12">
        <f>바닥판단가!G72</f>
        <v>98698</v>
      </c>
    </row>
    <row r="136" spans="1:14" ht="21.95" customHeight="1">
      <c r="N136" s="12"/>
    </row>
  </sheetData>
  <phoneticPr fontId="2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01"/>
  <sheetViews>
    <sheetView workbookViewId="0">
      <selection activeCell="G10" sqref="G10"/>
    </sheetView>
  </sheetViews>
  <sheetFormatPr defaultColWidth="12.5703125" defaultRowHeight="15" customHeight="1"/>
  <cols>
    <col min="1" max="7" width="13.7109375" style="11" customWidth="1"/>
    <col min="8" max="8" width="16.7109375" style="9" customWidth="1"/>
    <col min="9" max="26" width="7.5703125" style="9" customWidth="1"/>
    <col min="27" max="16384" width="12.5703125" style="9"/>
  </cols>
  <sheetData>
    <row r="1" spans="1:9" ht="30" customHeight="1">
      <c r="A1" s="11" t="s">
        <v>0</v>
      </c>
      <c r="B1" s="11" t="s">
        <v>27</v>
      </c>
      <c r="C1" s="11" t="s">
        <v>2</v>
      </c>
      <c r="D1" s="11" t="s">
        <v>28</v>
      </c>
      <c r="E1" s="11" t="s">
        <v>164</v>
      </c>
      <c r="F1" s="11" t="s">
        <v>29</v>
      </c>
      <c r="G1" s="11" t="s">
        <v>30</v>
      </c>
      <c r="H1" s="11" t="s">
        <v>136</v>
      </c>
      <c r="I1" s="11"/>
    </row>
    <row r="2" spans="1:9" ht="16.5" customHeight="1">
      <c r="A2" s="11" t="s">
        <v>14</v>
      </c>
      <c r="B2" s="11" t="s">
        <v>15</v>
      </c>
      <c r="C2" s="11" t="s">
        <v>16</v>
      </c>
      <c r="D2" s="11" t="s">
        <v>31</v>
      </c>
      <c r="E2" s="11">
        <v>1300</v>
      </c>
      <c r="F2" s="11">
        <v>1300</v>
      </c>
      <c r="G2" s="19">
        <v>51610</v>
      </c>
      <c r="H2" s="9" t="s">
        <v>165</v>
      </c>
    </row>
    <row r="3" spans="1:9" ht="16.5" customHeight="1">
      <c r="A3" s="11" t="s">
        <v>14</v>
      </c>
      <c r="B3" s="11" t="s">
        <v>15</v>
      </c>
      <c r="C3" s="11" t="s">
        <v>16</v>
      </c>
      <c r="D3" s="11" t="s">
        <v>31</v>
      </c>
      <c r="E3" s="11">
        <v>1300</v>
      </c>
      <c r="F3" s="11">
        <v>1400</v>
      </c>
      <c r="G3" s="19">
        <v>53600</v>
      </c>
    </row>
    <row r="4" spans="1:9" ht="16.5" customHeight="1">
      <c r="A4" s="11" t="s">
        <v>14</v>
      </c>
      <c r="B4" s="11" t="s">
        <v>15</v>
      </c>
      <c r="C4" s="11" t="s">
        <v>16</v>
      </c>
      <c r="D4" s="11" t="s">
        <v>31</v>
      </c>
      <c r="E4" s="11">
        <v>1300</v>
      </c>
      <c r="F4" s="11">
        <v>1500</v>
      </c>
      <c r="G4" s="19">
        <v>55485</v>
      </c>
    </row>
    <row r="5" spans="1:9" ht="16.5" customHeight="1">
      <c r="A5" s="11" t="s">
        <v>14</v>
      </c>
      <c r="B5" s="11" t="s">
        <v>15</v>
      </c>
      <c r="C5" s="11" t="s">
        <v>16</v>
      </c>
      <c r="D5" s="11" t="s">
        <v>31</v>
      </c>
      <c r="E5" s="11">
        <v>1300</v>
      </c>
      <c r="F5" s="11">
        <v>1600</v>
      </c>
      <c r="G5" s="19">
        <v>57790</v>
      </c>
    </row>
    <row r="6" spans="1:9" ht="16.5" customHeight="1">
      <c r="A6" s="11" t="s">
        <v>14</v>
      </c>
      <c r="B6" s="11" t="s">
        <v>15</v>
      </c>
      <c r="C6" s="11" t="s">
        <v>16</v>
      </c>
      <c r="D6" s="11" t="s">
        <v>31</v>
      </c>
      <c r="E6" s="11">
        <v>1400</v>
      </c>
      <c r="F6" s="11">
        <v>1300</v>
      </c>
      <c r="G6" s="19">
        <v>53600</v>
      </c>
    </row>
    <row r="7" spans="1:9" ht="16.5" customHeight="1">
      <c r="A7" s="11" t="s">
        <v>14</v>
      </c>
      <c r="B7" s="11" t="s">
        <v>15</v>
      </c>
      <c r="C7" s="11" t="s">
        <v>16</v>
      </c>
      <c r="D7" s="11" t="s">
        <v>31</v>
      </c>
      <c r="E7" s="11">
        <v>1400</v>
      </c>
      <c r="F7" s="11">
        <v>1400</v>
      </c>
      <c r="G7" s="19">
        <v>55695</v>
      </c>
    </row>
    <row r="8" spans="1:9" ht="16.5" customHeight="1">
      <c r="A8" s="11" t="s">
        <v>14</v>
      </c>
      <c r="B8" s="11" t="s">
        <v>15</v>
      </c>
      <c r="C8" s="11" t="s">
        <v>16</v>
      </c>
      <c r="D8" s="11" t="s">
        <v>31</v>
      </c>
      <c r="E8" s="11">
        <v>1400</v>
      </c>
      <c r="F8" s="11">
        <v>1500</v>
      </c>
      <c r="G8" s="19">
        <v>57581</v>
      </c>
    </row>
    <row r="9" spans="1:9" ht="16.5" customHeight="1">
      <c r="A9" s="11" t="s">
        <v>14</v>
      </c>
      <c r="B9" s="11" t="s">
        <v>15</v>
      </c>
      <c r="C9" s="11" t="s">
        <v>16</v>
      </c>
      <c r="D9" s="11" t="s">
        <v>31</v>
      </c>
      <c r="E9" s="11">
        <v>1400</v>
      </c>
      <c r="F9" s="11">
        <v>1600</v>
      </c>
      <c r="G9" s="19">
        <v>59676</v>
      </c>
    </row>
    <row r="10" spans="1:9" ht="18" customHeight="1">
      <c r="A10" s="11" t="s">
        <v>14</v>
      </c>
      <c r="B10" s="11" t="s">
        <v>15</v>
      </c>
      <c r="C10" s="11" t="s">
        <v>16</v>
      </c>
      <c r="D10" s="11" t="s">
        <v>31</v>
      </c>
      <c r="E10" s="11">
        <v>1500</v>
      </c>
      <c r="F10" s="11">
        <v>1300</v>
      </c>
      <c r="G10" s="19">
        <v>55485</v>
      </c>
    </row>
    <row r="11" spans="1:9" ht="16.5" customHeight="1">
      <c r="A11" s="11" t="s">
        <v>14</v>
      </c>
      <c r="B11" s="11" t="s">
        <v>15</v>
      </c>
      <c r="C11" s="11" t="s">
        <v>16</v>
      </c>
      <c r="D11" s="11" t="s">
        <v>31</v>
      </c>
      <c r="E11" s="11">
        <v>1500</v>
      </c>
      <c r="F11" s="11">
        <v>1400</v>
      </c>
      <c r="G11" s="19">
        <v>57581</v>
      </c>
    </row>
    <row r="12" spans="1:9" ht="16.5" customHeight="1">
      <c r="A12" s="11" t="s">
        <v>14</v>
      </c>
      <c r="B12" s="11" t="s">
        <v>15</v>
      </c>
      <c r="C12" s="11" t="s">
        <v>16</v>
      </c>
      <c r="D12" s="11" t="s">
        <v>31</v>
      </c>
      <c r="E12" s="11">
        <v>1500</v>
      </c>
      <c r="F12" s="11">
        <v>1500</v>
      </c>
      <c r="G12" s="19">
        <v>59676</v>
      </c>
    </row>
    <row r="13" spans="1:9" ht="16.5" customHeight="1">
      <c r="A13" s="11" t="s">
        <v>14</v>
      </c>
      <c r="B13" s="11" t="s">
        <v>15</v>
      </c>
      <c r="C13" s="11" t="s">
        <v>16</v>
      </c>
      <c r="D13" s="11" t="s">
        <v>31</v>
      </c>
      <c r="E13" s="11">
        <v>1500</v>
      </c>
      <c r="F13" s="11">
        <v>1600</v>
      </c>
      <c r="G13" s="19">
        <v>61771</v>
      </c>
    </row>
    <row r="14" spans="1:9" ht="16.5" customHeight="1">
      <c r="A14" s="20" t="s">
        <v>14</v>
      </c>
      <c r="B14" s="20" t="s">
        <v>15</v>
      </c>
      <c r="C14" s="20" t="s">
        <v>16</v>
      </c>
      <c r="D14" s="20" t="s">
        <v>31</v>
      </c>
      <c r="E14" s="20">
        <v>1600</v>
      </c>
      <c r="F14" s="20">
        <v>1300</v>
      </c>
      <c r="G14" s="33">
        <v>57790</v>
      </c>
    </row>
    <row r="15" spans="1:9" ht="16.5" customHeight="1">
      <c r="A15" s="11" t="s">
        <v>14</v>
      </c>
      <c r="B15" s="11" t="s">
        <v>15</v>
      </c>
      <c r="C15" s="11" t="s">
        <v>16</v>
      </c>
      <c r="D15" s="11" t="s">
        <v>166</v>
      </c>
      <c r="E15" s="11">
        <v>600</v>
      </c>
      <c r="F15" s="11">
        <v>850</v>
      </c>
      <c r="G15" s="19">
        <v>20666</v>
      </c>
    </row>
    <row r="16" spans="1:9" ht="16.5" customHeight="1">
      <c r="A16" s="11" t="s">
        <v>14</v>
      </c>
      <c r="B16" s="11" t="s">
        <v>15</v>
      </c>
      <c r="C16" s="11" t="s">
        <v>16</v>
      </c>
      <c r="D16" s="11" t="s">
        <v>166</v>
      </c>
      <c r="E16" s="11">
        <v>600</v>
      </c>
      <c r="F16" s="11">
        <v>900</v>
      </c>
      <c r="G16" s="19">
        <v>21190</v>
      </c>
    </row>
    <row r="17" spans="1:22" ht="16.5" customHeight="1">
      <c r="A17" s="11" t="s">
        <v>14</v>
      </c>
      <c r="B17" s="11" t="s">
        <v>15</v>
      </c>
      <c r="C17" s="11" t="s">
        <v>16</v>
      </c>
      <c r="D17" s="11" t="s">
        <v>166</v>
      </c>
      <c r="E17" s="11">
        <v>700</v>
      </c>
      <c r="F17" s="11">
        <v>900</v>
      </c>
      <c r="G17" s="19">
        <v>22342</v>
      </c>
    </row>
    <row r="18" spans="1:22" ht="16.5" customHeight="1">
      <c r="A18" s="11" t="s">
        <v>14</v>
      </c>
      <c r="B18" s="11" t="s">
        <v>15</v>
      </c>
      <c r="C18" s="11" t="s">
        <v>16</v>
      </c>
      <c r="D18" s="11" t="s">
        <v>166</v>
      </c>
      <c r="E18" s="11">
        <v>800</v>
      </c>
      <c r="F18" s="11">
        <v>900</v>
      </c>
      <c r="G18" s="19">
        <v>23494</v>
      </c>
      <c r="O18" s="18"/>
      <c r="U18" s="18"/>
    </row>
    <row r="19" spans="1:22" ht="16.5" customHeight="1">
      <c r="A19" s="11" t="s">
        <v>14</v>
      </c>
      <c r="B19" s="11" t="s">
        <v>15</v>
      </c>
      <c r="C19" s="11" t="s">
        <v>16</v>
      </c>
      <c r="D19" s="11" t="s">
        <v>166</v>
      </c>
      <c r="E19" s="11">
        <v>900</v>
      </c>
      <c r="F19" s="11">
        <v>900</v>
      </c>
      <c r="G19" s="19">
        <v>25066</v>
      </c>
      <c r="O19" s="18"/>
      <c r="U19" s="18"/>
    </row>
    <row r="20" spans="1:22" ht="16.5" customHeight="1">
      <c r="A20" s="11" t="s">
        <v>14</v>
      </c>
      <c r="B20" s="11" t="s">
        <v>15</v>
      </c>
      <c r="C20" s="11" t="s">
        <v>16</v>
      </c>
      <c r="D20" s="11" t="s">
        <v>166</v>
      </c>
      <c r="E20" s="11">
        <v>950</v>
      </c>
      <c r="F20" s="11">
        <v>900</v>
      </c>
      <c r="G20" s="19">
        <v>26113</v>
      </c>
      <c r="P20" s="18"/>
      <c r="R20" s="18"/>
      <c r="S20" s="18"/>
      <c r="T20" s="18"/>
      <c r="U20" s="18"/>
      <c r="V20" s="18"/>
    </row>
    <row r="21" spans="1:22" ht="16.5" customHeight="1">
      <c r="A21" s="11" t="s">
        <v>14</v>
      </c>
      <c r="B21" s="11" t="s">
        <v>15</v>
      </c>
      <c r="C21" s="11" t="s">
        <v>16</v>
      </c>
      <c r="D21" s="11" t="s">
        <v>166</v>
      </c>
      <c r="E21" s="11">
        <v>900</v>
      </c>
      <c r="F21" s="11">
        <v>1000</v>
      </c>
      <c r="G21" s="19">
        <v>27161</v>
      </c>
      <c r="P21" s="18"/>
      <c r="R21" s="18"/>
      <c r="S21" s="18"/>
      <c r="T21" s="18"/>
      <c r="U21" s="18"/>
      <c r="V21" s="18"/>
    </row>
    <row r="22" spans="1:22" ht="16.5" customHeight="1">
      <c r="A22" s="11" t="s">
        <v>14</v>
      </c>
      <c r="B22" s="11" t="s">
        <v>15</v>
      </c>
      <c r="C22" s="11" t="s">
        <v>16</v>
      </c>
      <c r="D22" s="11" t="s">
        <v>166</v>
      </c>
      <c r="E22" s="11">
        <v>1000</v>
      </c>
      <c r="F22" s="11">
        <v>1000</v>
      </c>
      <c r="G22" s="19">
        <v>29256</v>
      </c>
      <c r="P22" s="18"/>
      <c r="R22" s="18"/>
      <c r="S22" s="18"/>
      <c r="T22" s="18"/>
      <c r="U22" s="18"/>
      <c r="V22" s="18"/>
    </row>
    <row r="23" spans="1:22" ht="16.5" customHeight="1">
      <c r="A23" s="11" t="s">
        <v>24</v>
      </c>
      <c r="B23" s="11" t="s">
        <v>15</v>
      </c>
      <c r="C23" s="11" t="s">
        <v>16</v>
      </c>
      <c r="D23" s="11" t="s">
        <v>31</v>
      </c>
      <c r="E23" s="11">
        <v>1200</v>
      </c>
      <c r="F23" s="11">
        <v>1450</v>
      </c>
      <c r="G23" s="34">
        <v>50000</v>
      </c>
      <c r="P23" s="18"/>
      <c r="R23" s="18"/>
      <c r="S23" s="18"/>
      <c r="T23" s="18"/>
      <c r="U23" s="18"/>
      <c r="V23" s="18"/>
    </row>
    <row r="24" spans="1:22" ht="16.5" customHeight="1">
      <c r="A24" s="11" t="s">
        <v>24</v>
      </c>
      <c r="B24" s="11" t="s">
        <v>15</v>
      </c>
      <c r="C24" s="11" t="s">
        <v>16</v>
      </c>
      <c r="D24" s="11" t="s">
        <v>31</v>
      </c>
      <c r="E24" s="11">
        <v>1200</v>
      </c>
      <c r="F24" s="11">
        <v>1500</v>
      </c>
      <c r="G24" s="34">
        <v>50001</v>
      </c>
      <c r="P24" s="11"/>
    </row>
    <row r="25" spans="1:22" ht="16.5" customHeight="1">
      <c r="A25" s="11" t="s">
        <v>24</v>
      </c>
      <c r="B25" s="11" t="s">
        <v>15</v>
      </c>
      <c r="C25" s="11" t="s">
        <v>16</v>
      </c>
      <c r="D25" s="11" t="s">
        <v>31</v>
      </c>
      <c r="E25" s="11">
        <v>1300</v>
      </c>
      <c r="F25" s="11">
        <v>1500</v>
      </c>
      <c r="G25" s="34">
        <v>50002</v>
      </c>
      <c r="P25" s="11"/>
      <c r="R25" s="11"/>
      <c r="S25" s="11"/>
      <c r="T25" s="11"/>
      <c r="U25" s="11"/>
    </row>
    <row r="26" spans="1:22" ht="16.5" customHeight="1">
      <c r="A26" s="11" t="s">
        <v>24</v>
      </c>
      <c r="B26" s="11" t="s">
        <v>15</v>
      </c>
      <c r="C26" s="11" t="s">
        <v>16</v>
      </c>
      <c r="D26" s="11" t="s">
        <v>31</v>
      </c>
      <c r="E26" s="11">
        <v>1400</v>
      </c>
      <c r="F26" s="11">
        <v>1500</v>
      </c>
      <c r="G26" s="34">
        <v>50003</v>
      </c>
      <c r="P26" s="11"/>
      <c r="R26" s="11"/>
      <c r="S26" s="11"/>
      <c r="T26" s="11"/>
      <c r="U26" s="11"/>
    </row>
    <row r="27" spans="1:22" ht="16.5" customHeight="1">
      <c r="A27" s="11" t="s">
        <v>24</v>
      </c>
      <c r="B27" s="11" t="s">
        <v>15</v>
      </c>
      <c r="C27" s="11" t="s">
        <v>16</v>
      </c>
      <c r="D27" s="11" t="s">
        <v>31</v>
      </c>
      <c r="E27" s="11">
        <v>1600</v>
      </c>
      <c r="F27" s="11">
        <v>1500</v>
      </c>
      <c r="G27" s="34">
        <v>50004</v>
      </c>
      <c r="P27" s="11"/>
      <c r="R27" s="11"/>
      <c r="S27" s="11"/>
      <c r="T27" s="11"/>
      <c r="U27" s="11"/>
    </row>
    <row r="28" spans="1:22" ht="16.5" customHeight="1">
      <c r="A28" s="11" t="s">
        <v>24</v>
      </c>
      <c r="B28" s="11" t="s">
        <v>15</v>
      </c>
      <c r="C28" s="11" t="s">
        <v>16</v>
      </c>
      <c r="D28" s="11" t="s">
        <v>31</v>
      </c>
      <c r="E28" s="11">
        <v>1250</v>
      </c>
      <c r="F28" s="11">
        <v>1600</v>
      </c>
      <c r="G28" s="34">
        <v>50005</v>
      </c>
      <c r="P28" s="11"/>
      <c r="R28" s="11"/>
      <c r="S28" s="11"/>
      <c r="T28" s="11"/>
      <c r="U28" s="11"/>
    </row>
    <row r="29" spans="1:22" ht="16.5" customHeight="1">
      <c r="A29" s="11" t="s">
        <v>24</v>
      </c>
      <c r="B29" s="11" t="s">
        <v>15</v>
      </c>
      <c r="C29" s="11" t="s">
        <v>16</v>
      </c>
      <c r="D29" s="11" t="s">
        <v>31</v>
      </c>
      <c r="E29" s="11">
        <v>1300</v>
      </c>
      <c r="F29" s="11">
        <v>1600</v>
      </c>
      <c r="G29" s="34">
        <v>50006</v>
      </c>
      <c r="P29" s="11"/>
      <c r="R29" s="11"/>
      <c r="S29" s="11"/>
      <c r="T29" s="11"/>
      <c r="U29" s="11"/>
    </row>
    <row r="30" spans="1:22" ht="16.5" customHeight="1">
      <c r="A30" s="11" t="s">
        <v>24</v>
      </c>
      <c r="B30" s="11" t="s">
        <v>15</v>
      </c>
      <c r="C30" s="11" t="s">
        <v>16</v>
      </c>
      <c r="D30" s="11" t="s">
        <v>31</v>
      </c>
      <c r="E30" s="11">
        <v>1600</v>
      </c>
      <c r="F30" s="11">
        <v>1300</v>
      </c>
      <c r="G30" s="34">
        <v>50007</v>
      </c>
      <c r="P30" s="11"/>
      <c r="R30" s="11"/>
      <c r="S30" s="11"/>
      <c r="T30" s="11"/>
      <c r="U30" s="11"/>
    </row>
    <row r="31" spans="1:22" ht="16.5" customHeight="1">
      <c r="A31" s="11" t="s">
        <v>24</v>
      </c>
      <c r="B31" s="11" t="s">
        <v>15</v>
      </c>
      <c r="C31" s="11" t="s">
        <v>16</v>
      </c>
      <c r="D31" s="11" t="s">
        <v>31</v>
      </c>
      <c r="E31" s="11">
        <v>1350</v>
      </c>
      <c r="F31" s="11">
        <v>1600</v>
      </c>
      <c r="G31" s="34">
        <v>50008</v>
      </c>
      <c r="P31" s="11"/>
      <c r="R31" s="11"/>
      <c r="S31" s="11"/>
      <c r="T31" s="11"/>
      <c r="U31" s="11"/>
    </row>
    <row r="32" spans="1:22" ht="16.5" customHeight="1">
      <c r="A32" s="11" t="s">
        <v>24</v>
      </c>
      <c r="B32" s="11" t="s">
        <v>15</v>
      </c>
      <c r="C32" s="11" t="s">
        <v>16</v>
      </c>
      <c r="D32" s="11" t="s">
        <v>31</v>
      </c>
      <c r="E32" s="11">
        <v>1250</v>
      </c>
      <c r="F32" s="11">
        <v>1700</v>
      </c>
      <c r="G32" s="34">
        <v>50009</v>
      </c>
      <c r="P32" s="11"/>
      <c r="R32" s="11"/>
      <c r="S32" s="11"/>
      <c r="T32" s="11"/>
      <c r="U32" s="11"/>
    </row>
    <row r="33" spans="1:15" ht="16.5" customHeight="1">
      <c r="A33" s="11" t="s">
        <v>24</v>
      </c>
      <c r="B33" s="11" t="s">
        <v>15</v>
      </c>
      <c r="C33" s="11" t="s">
        <v>16</v>
      </c>
      <c r="D33" s="11" t="s">
        <v>31</v>
      </c>
      <c r="E33" s="11">
        <v>1300</v>
      </c>
      <c r="F33" s="11">
        <v>1700</v>
      </c>
      <c r="G33" s="34">
        <v>50010</v>
      </c>
    </row>
    <row r="34" spans="1:15" ht="16.5" customHeight="1">
      <c r="A34" s="11" t="s">
        <v>24</v>
      </c>
      <c r="B34" s="11" t="s">
        <v>15</v>
      </c>
      <c r="C34" s="11" t="s">
        <v>16</v>
      </c>
      <c r="D34" s="11" t="s">
        <v>31</v>
      </c>
      <c r="E34" s="11">
        <v>1350</v>
      </c>
      <c r="F34" s="11">
        <v>1700</v>
      </c>
      <c r="G34" s="34">
        <v>50011</v>
      </c>
    </row>
    <row r="35" spans="1:15" ht="16.5" customHeight="1">
      <c r="A35" s="11" t="s">
        <v>24</v>
      </c>
      <c r="B35" s="11" t="s">
        <v>15</v>
      </c>
      <c r="C35" s="11" t="s">
        <v>16</v>
      </c>
      <c r="D35" s="11" t="s">
        <v>31</v>
      </c>
      <c r="E35" s="11">
        <v>1400</v>
      </c>
      <c r="F35" s="11">
        <v>1700</v>
      </c>
      <c r="G35" s="34">
        <v>50012</v>
      </c>
    </row>
    <row r="36" spans="1:15" ht="16.5" customHeight="1">
      <c r="A36" s="11" t="s">
        <v>24</v>
      </c>
      <c r="B36" s="11" t="s">
        <v>15</v>
      </c>
      <c r="C36" s="11" t="s">
        <v>16</v>
      </c>
      <c r="D36" s="11" t="s">
        <v>31</v>
      </c>
      <c r="E36" s="11">
        <v>1300</v>
      </c>
      <c r="F36" s="11">
        <v>1800</v>
      </c>
      <c r="G36" s="34">
        <v>50013</v>
      </c>
    </row>
    <row r="37" spans="1:15" ht="16.5" customHeight="1">
      <c r="A37" s="11" t="s">
        <v>24</v>
      </c>
      <c r="B37" s="11" t="s">
        <v>15</v>
      </c>
      <c r="C37" s="11" t="s">
        <v>16</v>
      </c>
      <c r="D37" s="11" t="s">
        <v>31</v>
      </c>
      <c r="E37" s="11">
        <v>1800</v>
      </c>
      <c r="F37" s="11">
        <v>1800</v>
      </c>
      <c r="G37" s="34">
        <v>50014</v>
      </c>
    </row>
    <row r="38" spans="1:15" ht="16.5" customHeight="1">
      <c r="A38" s="11" t="s">
        <v>24</v>
      </c>
      <c r="B38" s="11" t="s">
        <v>15</v>
      </c>
      <c r="C38" s="11" t="s">
        <v>16</v>
      </c>
      <c r="D38" s="11" t="s">
        <v>31</v>
      </c>
      <c r="E38" s="11">
        <v>1300</v>
      </c>
      <c r="F38" s="11">
        <v>1400</v>
      </c>
      <c r="G38" s="34">
        <v>50015</v>
      </c>
      <c r="O38" s="11"/>
    </row>
    <row r="39" spans="1:15" ht="16.5" customHeight="1">
      <c r="A39" s="11" t="s">
        <v>24</v>
      </c>
      <c r="B39" s="11" t="s">
        <v>15</v>
      </c>
      <c r="C39" s="11" t="s">
        <v>16</v>
      </c>
      <c r="D39" s="11" t="s">
        <v>31</v>
      </c>
      <c r="E39" s="11">
        <v>1400</v>
      </c>
      <c r="F39" s="11">
        <v>1600</v>
      </c>
      <c r="G39" s="34">
        <v>50016</v>
      </c>
    </row>
    <row r="40" spans="1:15" ht="16.5" customHeight="1">
      <c r="A40" s="11" t="s">
        <v>24</v>
      </c>
      <c r="B40" s="11" t="s">
        <v>15</v>
      </c>
      <c r="C40" s="11" t="s">
        <v>16</v>
      </c>
      <c r="D40" s="11" t="s">
        <v>166</v>
      </c>
      <c r="E40" s="11">
        <v>900</v>
      </c>
      <c r="F40" s="11">
        <v>900</v>
      </c>
      <c r="G40" s="34">
        <v>50017</v>
      </c>
    </row>
    <row r="41" spans="1:15" ht="16.5" customHeight="1">
      <c r="A41" s="11" t="s">
        <v>24</v>
      </c>
      <c r="B41" s="11" t="s">
        <v>15</v>
      </c>
      <c r="C41" s="11" t="s">
        <v>16</v>
      </c>
      <c r="D41" s="11" t="s">
        <v>166</v>
      </c>
      <c r="E41" s="11">
        <v>900</v>
      </c>
      <c r="F41" s="11">
        <v>1100</v>
      </c>
      <c r="G41" s="34">
        <v>50018</v>
      </c>
    </row>
    <row r="42" spans="1:15" ht="16.5" customHeight="1">
      <c r="A42" s="11" t="s">
        <v>24</v>
      </c>
      <c r="B42" s="11" t="s">
        <v>15</v>
      </c>
      <c r="C42" s="11" t="s">
        <v>16</v>
      </c>
      <c r="D42" s="11" t="s">
        <v>166</v>
      </c>
      <c r="E42" s="11">
        <v>1100</v>
      </c>
      <c r="F42" s="11">
        <v>900</v>
      </c>
      <c r="G42" s="34">
        <v>50019</v>
      </c>
    </row>
    <row r="43" spans="1:15" ht="16.5" customHeight="1">
      <c r="A43" s="11" t="s">
        <v>24</v>
      </c>
      <c r="B43" s="11" t="s">
        <v>15</v>
      </c>
      <c r="C43" s="11" t="s">
        <v>16</v>
      </c>
      <c r="D43" s="11" t="s">
        <v>166</v>
      </c>
      <c r="E43" s="11">
        <v>1000</v>
      </c>
      <c r="F43" s="11">
        <v>1000</v>
      </c>
      <c r="G43" s="34">
        <v>50020</v>
      </c>
    </row>
    <row r="44" spans="1:15" ht="16.5" customHeight="1">
      <c r="A44" s="11" t="s">
        <v>24</v>
      </c>
      <c r="B44" s="11" t="s">
        <v>15</v>
      </c>
      <c r="C44" s="11" t="s">
        <v>16</v>
      </c>
      <c r="D44" s="11" t="s">
        <v>166</v>
      </c>
      <c r="E44" s="11">
        <v>950</v>
      </c>
      <c r="F44" s="11">
        <v>900</v>
      </c>
      <c r="G44" s="34">
        <v>50021</v>
      </c>
    </row>
    <row r="45" spans="1:15" ht="16.5" customHeight="1">
      <c r="A45" s="11" t="s">
        <v>24</v>
      </c>
      <c r="B45" s="11" t="s">
        <v>15</v>
      </c>
      <c r="C45" s="11" t="s">
        <v>16</v>
      </c>
      <c r="D45" s="11" t="s">
        <v>166</v>
      </c>
      <c r="E45" s="11">
        <v>950</v>
      </c>
      <c r="F45" s="11">
        <v>1000</v>
      </c>
      <c r="G45" s="34">
        <v>50022</v>
      </c>
    </row>
    <row r="46" spans="1:15" ht="16.5" customHeight="1">
      <c r="A46" s="11" t="s">
        <v>24</v>
      </c>
      <c r="B46" s="11" t="s">
        <v>15</v>
      </c>
      <c r="C46" s="11" t="s">
        <v>16</v>
      </c>
      <c r="D46" s="11" t="s">
        <v>166</v>
      </c>
      <c r="E46" s="11">
        <v>1050</v>
      </c>
      <c r="F46" s="11">
        <v>1050</v>
      </c>
      <c r="G46" s="34">
        <v>50023</v>
      </c>
    </row>
    <row r="47" spans="1:15" ht="16.5" customHeight="1">
      <c r="A47" s="11" t="s">
        <v>24</v>
      </c>
      <c r="B47" s="11" t="s">
        <v>15</v>
      </c>
      <c r="C47" s="11" t="s">
        <v>16</v>
      </c>
      <c r="D47" s="11" t="s">
        <v>166</v>
      </c>
      <c r="E47" s="11">
        <v>1100</v>
      </c>
      <c r="F47" s="11">
        <v>1000</v>
      </c>
      <c r="G47" s="34">
        <v>50024</v>
      </c>
    </row>
    <row r="48" spans="1:15" ht="16.5" customHeight="1">
      <c r="A48" s="11" t="s">
        <v>24</v>
      </c>
      <c r="B48" s="11" t="s">
        <v>15</v>
      </c>
      <c r="C48" s="11" t="s">
        <v>16</v>
      </c>
      <c r="D48" s="11" t="s">
        <v>166</v>
      </c>
      <c r="E48" s="11">
        <v>1000</v>
      </c>
      <c r="F48" s="11">
        <v>1100</v>
      </c>
      <c r="G48" s="34">
        <v>50025</v>
      </c>
    </row>
    <row r="49" spans="1:10" ht="16.5" customHeight="1">
      <c r="A49" s="11" t="s">
        <v>24</v>
      </c>
      <c r="B49" s="11" t="s">
        <v>15</v>
      </c>
      <c r="C49" s="11" t="s">
        <v>16</v>
      </c>
      <c r="D49" s="11" t="s">
        <v>166</v>
      </c>
      <c r="E49" s="11">
        <v>800</v>
      </c>
      <c r="F49" s="11">
        <v>900</v>
      </c>
      <c r="G49" s="34">
        <v>50026</v>
      </c>
    </row>
    <row r="50" spans="1:10" ht="16.5" customHeight="1">
      <c r="A50" s="11" t="s">
        <v>24</v>
      </c>
      <c r="B50" s="11" t="s">
        <v>15</v>
      </c>
      <c r="C50" s="11" t="s">
        <v>19</v>
      </c>
      <c r="D50" s="11" t="s">
        <v>167</v>
      </c>
      <c r="E50" s="11">
        <v>1200</v>
      </c>
      <c r="F50" s="11">
        <v>1900</v>
      </c>
      <c r="G50" s="34">
        <v>50027</v>
      </c>
    </row>
    <row r="51" spans="1:10" ht="16.5" customHeight="1">
      <c r="A51" s="11" t="s">
        <v>24</v>
      </c>
      <c r="B51" s="11" t="s">
        <v>15</v>
      </c>
      <c r="C51" s="11" t="s">
        <v>19</v>
      </c>
      <c r="D51" s="11" t="s">
        <v>167</v>
      </c>
      <c r="E51" s="11">
        <v>1400</v>
      </c>
      <c r="F51" s="11">
        <v>1900</v>
      </c>
      <c r="G51" s="34">
        <v>50028</v>
      </c>
    </row>
    <row r="52" spans="1:10" ht="16.5" customHeight="1">
      <c r="A52" s="11" t="s">
        <v>24</v>
      </c>
      <c r="B52" s="11" t="s">
        <v>15</v>
      </c>
      <c r="C52" s="11" t="s">
        <v>19</v>
      </c>
      <c r="D52" s="11" t="s">
        <v>166</v>
      </c>
      <c r="E52" s="11">
        <v>750</v>
      </c>
      <c r="F52" s="11">
        <v>1400</v>
      </c>
      <c r="G52" s="34">
        <v>50029</v>
      </c>
    </row>
    <row r="53" spans="1:10" ht="16.5" customHeight="1">
      <c r="A53" s="11" t="s">
        <v>24</v>
      </c>
      <c r="B53" s="11" t="s">
        <v>15</v>
      </c>
      <c r="C53" s="11" t="s">
        <v>19</v>
      </c>
      <c r="D53" s="11" t="s">
        <v>166</v>
      </c>
      <c r="E53" s="11">
        <v>800</v>
      </c>
      <c r="F53" s="11">
        <v>1400</v>
      </c>
      <c r="G53" s="34">
        <v>50030</v>
      </c>
    </row>
    <row r="54" spans="1:10" ht="16.5" customHeight="1">
      <c r="A54" s="11" t="s">
        <v>24</v>
      </c>
      <c r="B54" s="11" t="s">
        <v>15</v>
      </c>
      <c r="C54" s="11" t="s">
        <v>19</v>
      </c>
      <c r="D54" s="11" t="s">
        <v>166</v>
      </c>
      <c r="E54" s="11">
        <v>700</v>
      </c>
      <c r="F54" s="11">
        <v>1500</v>
      </c>
      <c r="G54" s="34">
        <v>50031</v>
      </c>
    </row>
    <row r="55" spans="1:10" ht="16.5" customHeight="1">
      <c r="A55" s="11" t="s">
        <v>24</v>
      </c>
      <c r="B55" s="11" t="s">
        <v>15</v>
      </c>
      <c r="C55" s="11" t="s">
        <v>19</v>
      </c>
      <c r="D55" s="11" t="s">
        <v>166</v>
      </c>
      <c r="E55" s="11">
        <v>800</v>
      </c>
      <c r="F55" s="11">
        <v>1500</v>
      </c>
      <c r="G55" s="34">
        <v>50032</v>
      </c>
    </row>
    <row r="56" spans="1:10" ht="16.5" customHeight="1">
      <c r="A56" s="11" t="s">
        <v>24</v>
      </c>
      <c r="B56" s="11" t="s">
        <v>15</v>
      </c>
      <c r="C56" s="11" t="s">
        <v>19</v>
      </c>
      <c r="D56" s="11" t="s">
        <v>166</v>
      </c>
      <c r="E56" s="11">
        <v>900</v>
      </c>
      <c r="F56" s="11">
        <v>1500</v>
      </c>
      <c r="G56" s="34">
        <v>50033</v>
      </c>
    </row>
    <row r="57" spans="1:10" ht="16.5" customHeight="1">
      <c r="A57" s="11" t="s">
        <v>24</v>
      </c>
      <c r="B57" s="11" t="s">
        <v>15</v>
      </c>
      <c r="C57" s="11" t="s">
        <v>19</v>
      </c>
      <c r="D57" s="11" t="s">
        <v>166</v>
      </c>
      <c r="E57" s="11">
        <v>800</v>
      </c>
      <c r="F57" s="11">
        <v>1600</v>
      </c>
      <c r="G57" s="34">
        <v>50034</v>
      </c>
    </row>
    <row r="58" spans="1:10" ht="16.5" customHeight="1">
      <c r="A58" s="11" t="s">
        <v>24</v>
      </c>
      <c r="B58" s="11" t="s">
        <v>15</v>
      </c>
      <c r="C58" s="11" t="s">
        <v>19</v>
      </c>
      <c r="D58" s="11" t="s">
        <v>166</v>
      </c>
      <c r="E58" s="11">
        <v>900</v>
      </c>
      <c r="F58" s="11">
        <v>1600</v>
      </c>
      <c r="G58" s="34">
        <v>50035</v>
      </c>
    </row>
    <row r="59" spans="1:10" ht="16.5" customHeight="1">
      <c r="A59" s="11" t="s">
        <v>14</v>
      </c>
      <c r="B59" s="11" t="s">
        <v>22</v>
      </c>
      <c r="C59" s="11" t="s">
        <v>16</v>
      </c>
      <c r="D59" s="11" t="s">
        <v>17</v>
      </c>
      <c r="E59" s="11">
        <v>1500</v>
      </c>
      <c r="F59" s="11">
        <v>2300</v>
      </c>
      <c r="G59" s="19">
        <v>111636</v>
      </c>
      <c r="H59" s="18"/>
      <c r="I59" s="18"/>
      <c r="J59" s="18"/>
    </row>
    <row r="60" spans="1:10" ht="16.5" customHeight="1">
      <c r="A60" s="11" t="s">
        <v>14</v>
      </c>
      <c r="B60" s="11" t="s">
        <v>22</v>
      </c>
      <c r="C60" s="11" t="s">
        <v>16</v>
      </c>
      <c r="D60" s="11" t="s">
        <v>17</v>
      </c>
      <c r="E60" s="11">
        <v>1500</v>
      </c>
      <c r="F60" s="11">
        <v>2400</v>
      </c>
      <c r="G60" s="19">
        <v>114255</v>
      </c>
      <c r="H60" s="18"/>
      <c r="I60" s="18"/>
      <c r="J60" s="18"/>
    </row>
    <row r="61" spans="1:10" ht="16.5" customHeight="1">
      <c r="A61" s="11" t="s">
        <v>14</v>
      </c>
      <c r="B61" s="11" t="s">
        <v>22</v>
      </c>
      <c r="C61" s="11" t="s">
        <v>19</v>
      </c>
      <c r="D61" s="11" t="s">
        <v>17</v>
      </c>
      <c r="E61" s="11">
        <v>1600</v>
      </c>
      <c r="F61" s="11">
        <v>2400</v>
      </c>
      <c r="G61" s="19">
        <v>214100</v>
      </c>
      <c r="H61" s="18"/>
      <c r="I61" s="18"/>
      <c r="J61" s="18"/>
    </row>
    <row r="62" spans="1:10" ht="16.5" customHeight="1">
      <c r="A62" s="11" t="s">
        <v>14</v>
      </c>
      <c r="B62" s="11" t="s">
        <v>22</v>
      </c>
      <c r="C62" s="11" t="s">
        <v>19</v>
      </c>
      <c r="D62" s="11" t="s">
        <v>23</v>
      </c>
      <c r="E62" s="11">
        <v>1600</v>
      </c>
      <c r="F62" s="11">
        <v>2400</v>
      </c>
      <c r="G62" s="19">
        <v>214100</v>
      </c>
      <c r="H62" s="18"/>
      <c r="I62" s="18"/>
      <c r="J62" s="18"/>
    </row>
    <row r="63" spans="1:10" ht="16.5" customHeight="1">
      <c r="A63" s="11" t="s">
        <v>14</v>
      </c>
      <c r="B63" s="11" t="s">
        <v>25</v>
      </c>
      <c r="C63" s="11" t="s">
        <v>16</v>
      </c>
      <c r="D63" s="11" t="s">
        <v>17</v>
      </c>
      <c r="E63" s="11">
        <v>1400</v>
      </c>
      <c r="F63" s="11">
        <v>2100</v>
      </c>
      <c r="G63" s="19">
        <v>77613</v>
      </c>
    </row>
    <row r="64" spans="1:10" ht="16.5" customHeight="1">
      <c r="A64" s="11" t="s">
        <v>14</v>
      </c>
      <c r="B64" s="11" t="s">
        <v>25</v>
      </c>
      <c r="C64" s="11" t="s">
        <v>16</v>
      </c>
      <c r="D64" s="11" t="s">
        <v>17</v>
      </c>
      <c r="E64" s="11">
        <v>1400</v>
      </c>
      <c r="F64" s="11">
        <v>2200</v>
      </c>
      <c r="G64" s="19">
        <v>78661</v>
      </c>
    </row>
    <row r="65" spans="1:7" ht="16.5" customHeight="1">
      <c r="A65" s="11" t="s">
        <v>14</v>
      </c>
      <c r="B65" s="11" t="s">
        <v>25</v>
      </c>
      <c r="C65" s="11" t="s">
        <v>16</v>
      </c>
      <c r="D65" s="11" t="s">
        <v>17</v>
      </c>
      <c r="E65" s="11">
        <v>1500</v>
      </c>
      <c r="F65" s="11">
        <v>2100</v>
      </c>
      <c r="G65" s="19">
        <v>79813</v>
      </c>
    </row>
    <row r="66" spans="1:7" ht="16.5" customHeight="1">
      <c r="A66" s="11" t="s">
        <v>14</v>
      </c>
      <c r="B66" s="11" t="s">
        <v>25</v>
      </c>
      <c r="C66" s="11" t="s">
        <v>16</v>
      </c>
      <c r="D66" s="11" t="s">
        <v>17</v>
      </c>
      <c r="E66" s="11">
        <v>1500</v>
      </c>
      <c r="F66" s="11">
        <v>2200</v>
      </c>
      <c r="G66" s="19">
        <v>80860</v>
      </c>
    </row>
    <row r="67" spans="1:7" ht="16.5" customHeight="1">
      <c r="A67" s="11" t="s">
        <v>14</v>
      </c>
      <c r="B67" s="11" t="s">
        <v>25</v>
      </c>
      <c r="C67" s="11" t="s">
        <v>23</v>
      </c>
      <c r="D67" s="11" t="s">
        <v>23</v>
      </c>
      <c r="E67" s="11">
        <v>1500</v>
      </c>
      <c r="F67" s="11">
        <v>2000</v>
      </c>
      <c r="G67" s="19">
        <v>81839</v>
      </c>
    </row>
    <row r="68" spans="1:7" ht="16.5" customHeight="1">
      <c r="A68" s="11" t="s">
        <v>14</v>
      </c>
      <c r="B68" s="11" t="s">
        <v>26</v>
      </c>
      <c r="C68" s="11" t="s">
        <v>19</v>
      </c>
      <c r="D68" s="11" t="s">
        <v>17</v>
      </c>
      <c r="E68" s="11">
        <v>1200</v>
      </c>
      <c r="F68" s="11">
        <v>1400</v>
      </c>
      <c r="G68" s="19">
        <v>75324</v>
      </c>
    </row>
    <row r="69" spans="1:7" ht="16.5" customHeight="1">
      <c r="A69" s="11" t="s">
        <v>14</v>
      </c>
      <c r="B69" s="11" t="s">
        <v>26</v>
      </c>
      <c r="C69" s="11" t="s">
        <v>19</v>
      </c>
      <c r="D69" s="11" t="s">
        <v>17</v>
      </c>
      <c r="E69" s="11">
        <v>1300</v>
      </c>
      <c r="F69" s="11">
        <v>1500</v>
      </c>
      <c r="G69" s="19">
        <v>79865</v>
      </c>
    </row>
    <row r="70" spans="1:7" ht="16.5" customHeight="1">
      <c r="A70" s="11" t="s">
        <v>14</v>
      </c>
      <c r="B70" s="11" t="s">
        <v>26</v>
      </c>
      <c r="C70" s="11" t="s">
        <v>19</v>
      </c>
      <c r="D70" s="11" t="s">
        <v>17</v>
      </c>
      <c r="E70" s="11">
        <v>1400</v>
      </c>
      <c r="F70" s="11">
        <v>1800</v>
      </c>
      <c r="G70" s="19">
        <v>94785</v>
      </c>
    </row>
    <row r="71" spans="1:7" ht="16.5" customHeight="1">
      <c r="A71" s="11" t="s">
        <v>14</v>
      </c>
      <c r="B71" s="11" t="s">
        <v>26</v>
      </c>
      <c r="C71" s="11" t="s">
        <v>19</v>
      </c>
      <c r="D71" s="11" t="s">
        <v>23</v>
      </c>
      <c r="E71" s="11">
        <v>1300</v>
      </c>
      <c r="F71" s="11">
        <v>1900</v>
      </c>
      <c r="G71" s="19">
        <v>91562</v>
      </c>
    </row>
    <row r="72" spans="1:7" ht="16.5" customHeight="1">
      <c r="A72" s="11" t="s">
        <v>14</v>
      </c>
      <c r="B72" s="11" t="s">
        <v>26</v>
      </c>
      <c r="C72" s="11" t="s">
        <v>19</v>
      </c>
      <c r="D72" s="11" t="s">
        <v>23</v>
      </c>
      <c r="E72" s="11">
        <v>1500</v>
      </c>
      <c r="F72" s="11">
        <v>1900</v>
      </c>
      <c r="G72" s="19">
        <v>98698</v>
      </c>
    </row>
    <row r="73" spans="1:7" ht="16.5" customHeight="1"/>
    <row r="74" spans="1:7" ht="16.5" customHeight="1"/>
    <row r="75" spans="1:7" ht="16.5" customHeight="1"/>
    <row r="76" spans="1:7" ht="16.5" customHeight="1"/>
    <row r="77" spans="1:7" ht="16.5" customHeight="1"/>
    <row r="78" spans="1:7" ht="16.5" customHeight="1"/>
    <row r="79" spans="1:7" ht="16.5" customHeight="1"/>
    <row r="80" spans="1:7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</sheetData>
  <phoneticPr fontId="2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9"/>
  <sheetViews>
    <sheetView workbookViewId="0">
      <selection activeCell="E16" sqref="E16"/>
    </sheetView>
  </sheetViews>
  <sheetFormatPr defaultColWidth="12.5703125" defaultRowHeight="18" customHeight="1"/>
  <cols>
    <col min="1" max="5" width="13.140625" style="11" customWidth="1"/>
    <col min="6" max="26" width="7.5703125" style="9" customWidth="1"/>
    <col min="27" max="16384" width="12.5703125" style="9"/>
  </cols>
  <sheetData>
    <row r="1" spans="1:5" ht="18" customHeight="1">
      <c r="A1" s="11" t="s">
        <v>32</v>
      </c>
      <c r="B1" s="11" t="s">
        <v>33</v>
      </c>
      <c r="C1" s="11" t="s">
        <v>34</v>
      </c>
      <c r="D1" s="11" t="s">
        <v>29</v>
      </c>
      <c r="E1" s="11" t="s">
        <v>13</v>
      </c>
    </row>
    <row r="2" spans="1:5" ht="18" customHeight="1">
      <c r="A2" s="11" t="s">
        <v>35</v>
      </c>
      <c r="B2" s="24" t="s">
        <v>36</v>
      </c>
      <c r="C2" s="11">
        <v>2000</v>
      </c>
      <c r="D2" s="11">
        <v>1300</v>
      </c>
      <c r="E2" s="25">
        <f>ROUND(24876.5284210526,0)</f>
        <v>24877</v>
      </c>
    </row>
    <row r="3" spans="1:5" ht="18" customHeight="1">
      <c r="A3" s="11" t="s">
        <v>35</v>
      </c>
      <c r="B3" s="24" t="s">
        <v>37</v>
      </c>
      <c r="C3" s="11">
        <v>1750</v>
      </c>
      <c r="D3" s="11">
        <v>1300</v>
      </c>
      <c r="E3" s="25">
        <f>ROUND(19466.644754386,0)</f>
        <v>19467</v>
      </c>
    </row>
    <row r="4" spans="1:5" ht="18" customHeight="1">
      <c r="A4" s="11" t="s">
        <v>35</v>
      </c>
      <c r="B4" s="24" t="s">
        <v>38</v>
      </c>
      <c r="C4" s="11">
        <v>1750</v>
      </c>
      <c r="D4" s="11">
        <v>1350</v>
      </c>
      <c r="E4" s="25">
        <f>ROUND(20465.029754386,0)</f>
        <v>20465</v>
      </c>
    </row>
    <row r="5" spans="1:5" ht="18" customHeight="1">
      <c r="A5" s="11" t="s">
        <v>35</v>
      </c>
      <c r="B5" s="24" t="s">
        <v>39</v>
      </c>
      <c r="C5" s="11">
        <v>1750</v>
      </c>
      <c r="D5" s="11">
        <v>1350</v>
      </c>
      <c r="E5" s="25">
        <f>ROUND(22778.035754386,0)</f>
        <v>22778</v>
      </c>
    </row>
    <row r="6" spans="1:5" ht="18" customHeight="1">
      <c r="A6" s="11" t="s">
        <v>35</v>
      </c>
      <c r="B6" s="24" t="s">
        <v>40</v>
      </c>
      <c r="C6" s="11">
        <v>1750</v>
      </c>
      <c r="D6" s="11">
        <v>1450</v>
      </c>
      <c r="E6" s="25">
        <f>ROUND(22090.7790877193,0)</f>
        <v>22091</v>
      </c>
    </row>
    <row r="7" spans="1:5" ht="18" customHeight="1">
      <c r="A7" s="11" t="s">
        <v>35</v>
      </c>
      <c r="B7" s="24" t="s">
        <v>41</v>
      </c>
      <c r="C7" s="11">
        <v>1750</v>
      </c>
      <c r="D7" s="11">
        <v>1000</v>
      </c>
      <c r="E7" s="25">
        <f>ROUND(22305.1613333333,0)</f>
        <v>22305</v>
      </c>
    </row>
    <row r="8" spans="1:5" ht="18" customHeight="1">
      <c r="A8" s="11" t="s">
        <v>35</v>
      </c>
      <c r="B8" s="24" t="s">
        <v>42</v>
      </c>
      <c r="C8" s="11">
        <v>1750</v>
      </c>
      <c r="D8" s="11">
        <v>1200</v>
      </c>
      <c r="E8" s="25">
        <f>ROUND(25853.7433333333,0)</f>
        <v>25854</v>
      </c>
    </row>
    <row r="9" spans="1:5" ht="18" customHeight="1">
      <c r="A9" s="11" t="s">
        <v>35</v>
      </c>
      <c r="B9" s="24" t="s">
        <v>43</v>
      </c>
      <c r="C9" s="11">
        <v>2000</v>
      </c>
      <c r="D9" s="11">
        <v>1200</v>
      </c>
      <c r="E9" s="25">
        <f>ROUND(31177.068,0)</f>
        <v>31177</v>
      </c>
    </row>
    <row r="10" spans="1:5" ht="18" customHeight="1">
      <c r="A10" s="11" t="s">
        <v>35</v>
      </c>
      <c r="B10" s="24" t="s">
        <v>44</v>
      </c>
      <c r="C10" s="11">
        <v>1850</v>
      </c>
      <c r="D10" s="11">
        <v>1370</v>
      </c>
      <c r="E10" s="25">
        <f>ROUND(22090.7790877193,0)</f>
        <v>22091</v>
      </c>
    </row>
    <row r="11" spans="1:5" ht="18" customHeight="1">
      <c r="A11" s="11" t="s">
        <v>35</v>
      </c>
      <c r="B11" s="24" t="s">
        <v>45</v>
      </c>
      <c r="C11" s="11">
        <v>1850</v>
      </c>
      <c r="D11" s="11">
        <v>1260</v>
      </c>
      <c r="E11" s="25">
        <f>ROUND(21026.4810877193,0)</f>
        <v>21026</v>
      </c>
    </row>
    <row r="12" spans="1:5" ht="18" customHeight="1">
      <c r="A12" s="11" t="s">
        <v>46</v>
      </c>
      <c r="B12" s="24">
        <v>700</v>
      </c>
      <c r="C12" s="11">
        <v>1750</v>
      </c>
      <c r="D12" s="11">
        <v>700</v>
      </c>
      <c r="E12" s="25">
        <f>ROUND(14109.9616666667,0)</f>
        <v>14110</v>
      </c>
    </row>
    <row r="13" spans="1:5" ht="18" customHeight="1">
      <c r="A13" s="11" t="s">
        <v>46</v>
      </c>
      <c r="B13" s="24">
        <v>800</v>
      </c>
      <c r="C13" s="11">
        <v>1750</v>
      </c>
      <c r="D13" s="11">
        <v>800</v>
      </c>
      <c r="E13" s="25">
        <f>ROUND(15953.6971111111,0)</f>
        <v>15954</v>
      </c>
    </row>
    <row r="14" spans="1:5" ht="18" customHeight="1">
      <c r="A14" s="11" t="s">
        <v>46</v>
      </c>
      <c r="B14" s="11" t="s">
        <v>47</v>
      </c>
      <c r="C14" s="11">
        <v>1750</v>
      </c>
      <c r="D14" s="11">
        <v>900</v>
      </c>
      <c r="E14" s="25">
        <f>ROUND(18683.766,0)</f>
        <v>18684</v>
      </c>
    </row>
    <row r="15" spans="1:5" ht="18" customHeight="1">
      <c r="A15" s="11" t="s">
        <v>46</v>
      </c>
      <c r="B15" s="11" t="s">
        <v>48</v>
      </c>
      <c r="C15" s="11">
        <v>960</v>
      </c>
      <c r="D15" s="11">
        <v>900</v>
      </c>
      <c r="E15" s="25">
        <f>ROUND(10785.7126666667,0)</f>
        <v>10786</v>
      </c>
    </row>
    <row r="16" spans="1:5" ht="18" customHeight="1">
      <c r="A16" s="11" t="s">
        <v>46</v>
      </c>
      <c r="B16" s="24">
        <v>1000</v>
      </c>
      <c r="C16" s="11">
        <v>1750</v>
      </c>
      <c r="D16" s="11">
        <v>1000</v>
      </c>
      <c r="E16" s="25">
        <f>ROUND(19905.1613333333,0)</f>
        <v>19905</v>
      </c>
    </row>
    <row r="17" spans="1:5" ht="18" customHeight="1">
      <c r="A17" s="11" t="s">
        <v>46</v>
      </c>
      <c r="B17" s="24">
        <v>1200</v>
      </c>
      <c r="C17" s="11">
        <v>1750</v>
      </c>
      <c r="D17" s="11">
        <v>1200</v>
      </c>
      <c r="E17" s="25">
        <f>ROUND(23453.7433333333,0)</f>
        <v>23454</v>
      </c>
    </row>
    <row r="18" spans="1:5" ht="18" customHeight="1">
      <c r="A18" s="11" t="s">
        <v>46</v>
      </c>
      <c r="B18" s="24">
        <v>2000</v>
      </c>
      <c r="C18" s="11">
        <v>2000</v>
      </c>
      <c r="D18" s="11">
        <v>1200</v>
      </c>
      <c r="E18" s="25">
        <f>ROUND(28777.068,0)</f>
        <v>28777</v>
      </c>
    </row>
    <row r="19" spans="1:5" ht="18" customHeight="1">
      <c r="A19" s="11" t="s">
        <v>46</v>
      </c>
      <c r="B19" s="24">
        <v>750</v>
      </c>
      <c r="C19" s="11">
        <v>1850</v>
      </c>
      <c r="D19" s="11">
        <v>750</v>
      </c>
      <c r="E19" s="25">
        <f>ROUND(14527.649,0)</f>
        <v>14528</v>
      </c>
    </row>
    <row r="20" spans="1:5" ht="18" customHeight="1">
      <c r="A20" s="11" t="s">
        <v>46</v>
      </c>
      <c r="B20" s="24">
        <v>1100</v>
      </c>
      <c r="C20" s="11">
        <v>1850</v>
      </c>
      <c r="D20" s="11">
        <v>1100</v>
      </c>
      <c r="E20" s="25">
        <f>ROUND(20189.7306666667,0)</f>
        <v>20190</v>
      </c>
    </row>
    <row r="21" spans="1:5" ht="18" customHeight="1">
      <c r="A21" s="11" t="s">
        <v>49</v>
      </c>
      <c r="B21" s="24" t="s">
        <v>36</v>
      </c>
      <c r="C21" s="11">
        <v>900</v>
      </c>
      <c r="D21" s="11">
        <v>700</v>
      </c>
      <c r="E21" s="25">
        <f t="shared" ref="E21:E23" si="0">ROUND(8585.984,0)</f>
        <v>8586</v>
      </c>
    </row>
    <row r="22" spans="1:5" ht="18" customHeight="1">
      <c r="A22" s="11" t="s">
        <v>49</v>
      </c>
      <c r="B22" s="24" t="s">
        <v>37</v>
      </c>
      <c r="C22" s="11">
        <v>900</v>
      </c>
      <c r="D22" s="11">
        <v>700</v>
      </c>
      <c r="E22" s="25">
        <f t="shared" si="0"/>
        <v>8586</v>
      </c>
    </row>
    <row r="23" spans="1:5" ht="18" customHeight="1">
      <c r="A23" s="11" t="s">
        <v>49</v>
      </c>
      <c r="B23" s="24" t="s">
        <v>38</v>
      </c>
      <c r="C23" s="11">
        <v>900</v>
      </c>
      <c r="D23" s="11">
        <v>700</v>
      </c>
      <c r="E23" s="25">
        <f t="shared" si="0"/>
        <v>8586</v>
      </c>
    </row>
    <row r="24" spans="1:5" ht="18" customHeight="1">
      <c r="A24" s="11" t="s">
        <v>49</v>
      </c>
      <c r="B24" s="24" t="s">
        <v>39</v>
      </c>
      <c r="C24" s="11">
        <v>650</v>
      </c>
      <c r="D24" s="11">
        <v>500</v>
      </c>
      <c r="E24" s="25">
        <f>ROUND(6296.838,0)</f>
        <v>6297</v>
      </c>
    </row>
    <row r="25" spans="1:5" ht="18" customHeight="1">
      <c r="A25" s="11" t="s">
        <v>49</v>
      </c>
      <c r="B25" s="24" t="s">
        <v>40</v>
      </c>
      <c r="C25" s="11">
        <v>900</v>
      </c>
      <c r="D25" s="11">
        <v>700</v>
      </c>
      <c r="E25" s="25">
        <f>ROUND(8585.984,0)</f>
        <v>8586</v>
      </c>
    </row>
    <row r="26" spans="1:5" ht="18" customHeight="1">
      <c r="A26" s="11" t="s">
        <v>49</v>
      </c>
      <c r="B26" s="24" t="s">
        <v>41</v>
      </c>
      <c r="C26" s="11">
        <v>450</v>
      </c>
      <c r="D26" s="11">
        <v>450</v>
      </c>
      <c r="E26" s="25">
        <f t="shared" ref="E26:E28" si="1">ROUND(4728.38884210526,0)</f>
        <v>4728</v>
      </c>
    </row>
    <row r="27" spans="1:5" ht="18" customHeight="1">
      <c r="A27" s="11" t="s">
        <v>49</v>
      </c>
      <c r="B27" s="24" t="s">
        <v>42</v>
      </c>
      <c r="C27" s="11">
        <v>450</v>
      </c>
      <c r="D27" s="11">
        <v>450</v>
      </c>
      <c r="E27" s="25">
        <f t="shared" si="1"/>
        <v>4728</v>
      </c>
    </row>
    <row r="28" spans="1:5" ht="18" customHeight="1">
      <c r="A28" s="11" t="s">
        <v>49</v>
      </c>
      <c r="B28" s="24" t="s">
        <v>43</v>
      </c>
      <c r="C28" s="11">
        <v>450</v>
      </c>
      <c r="D28" s="11">
        <v>450</v>
      </c>
      <c r="E28" s="25">
        <f t="shared" si="1"/>
        <v>4728</v>
      </c>
    </row>
    <row r="29" spans="1:5" ht="18" customHeight="1">
      <c r="A29" s="11" t="s">
        <v>49</v>
      </c>
      <c r="B29" s="24" t="s">
        <v>44</v>
      </c>
      <c r="C29" s="11">
        <v>900</v>
      </c>
      <c r="D29" s="11">
        <v>650</v>
      </c>
      <c r="E29" s="25">
        <f>ROUND(8174.96333333333,0)</f>
        <v>8175</v>
      </c>
    </row>
    <row r="30" spans="1:5" ht="18" customHeight="1">
      <c r="A30" s="11" t="s">
        <v>49</v>
      </c>
      <c r="B30" s="24" t="s">
        <v>45</v>
      </c>
      <c r="C30" s="11">
        <v>900</v>
      </c>
      <c r="D30" s="11">
        <v>750</v>
      </c>
      <c r="E30" s="25">
        <f>ROUND(8184.748,0)</f>
        <v>8185</v>
      </c>
    </row>
    <row r="31" spans="1:5" ht="18" customHeight="1">
      <c r="E31" s="25"/>
    </row>
    <row r="32" spans="1:5" ht="18" customHeight="1">
      <c r="E32" s="25"/>
    </row>
    <row r="33" spans="5:5" ht="18" customHeight="1">
      <c r="E33" s="25"/>
    </row>
    <row r="34" spans="5:5" ht="18" customHeight="1">
      <c r="E34" s="25"/>
    </row>
    <row r="35" spans="5:5" ht="18" customHeight="1">
      <c r="E35" s="25"/>
    </row>
    <row r="36" spans="5:5" ht="18" customHeight="1">
      <c r="E36" s="25"/>
    </row>
    <row r="37" spans="5:5" ht="18" customHeight="1">
      <c r="E37" s="25"/>
    </row>
    <row r="38" spans="5:5" ht="18" customHeight="1">
      <c r="E38" s="25"/>
    </row>
    <row r="39" spans="5:5" ht="18" customHeight="1">
      <c r="E39" s="25"/>
    </row>
    <row r="40" spans="5:5" ht="18" customHeight="1">
      <c r="E40" s="25"/>
    </row>
    <row r="41" spans="5:5" ht="18" customHeight="1">
      <c r="E41" s="25"/>
    </row>
    <row r="42" spans="5:5" ht="18" customHeight="1">
      <c r="E42" s="25"/>
    </row>
    <row r="43" spans="5:5" ht="18" customHeight="1">
      <c r="E43" s="25"/>
    </row>
    <row r="44" spans="5:5" ht="18" customHeight="1">
      <c r="E44" s="25"/>
    </row>
    <row r="45" spans="5:5" ht="18" customHeight="1">
      <c r="E45" s="25"/>
    </row>
    <row r="46" spans="5:5" ht="18" customHeight="1">
      <c r="E46" s="25"/>
    </row>
    <row r="47" spans="5:5" ht="18" customHeight="1">
      <c r="E47" s="25"/>
    </row>
    <row r="48" spans="5:5" ht="18" customHeight="1">
      <c r="E48" s="25"/>
    </row>
    <row r="49" spans="5:5" ht="18" customHeight="1">
      <c r="E49" s="25"/>
    </row>
    <row r="50" spans="5:5" ht="18" customHeight="1">
      <c r="E50" s="25"/>
    </row>
    <row r="51" spans="5:5" ht="18" customHeight="1">
      <c r="E51" s="25"/>
    </row>
    <row r="52" spans="5:5" ht="18" customHeight="1">
      <c r="E52" s="25"/>
    </row>
    <row r="53" spans="5:5" ht="18" customHeight="1">
      <c r="E53" s="25"/>
    </row>
    <row r="54" spans="5:5" ht="18" customHeight="1">
      <c r="E54" s="25"/>
    </row>
    <row r="55" spans="5:5" ht="18" customHeight="1">
      <c r="E55" s="25"/>
    </row>
    <row r="56" spans="5:5" ht="18" customHeight="1">
      <c r="E56" s="25"/>
    </row>
    <row r="57" spans="5:5" ht="18" customHeight="1">
      <c r="E57" s="25"/>
    </row>
    <row r="58" spans="5:5" ht="18" customHeight="1">
      <c r="E58" s="25"/>
    </row>
    <row r="59" spans="5:5" ht="18" customHeight="1">
      <c r="E59" s="25"/>
    </row>
    <row r="60" spans="5:5" ht="18" customHeight="1">
      <c r="E60" s="25"/>
    </row>
    <row r="61" spans="5:5" ht="18" customHeight="1">
      <c r="E61" s="25"/>
    </row>
    <row r="62" spans="5:5" ht="18" customHeight="1">
      <c r="E62" s="25"/>
    </row>
    <row r="63" spans="5:5" ht="18" customHeight="1">
      <c r="E63" s="25"/>
    </row>
    <row r="64" spans="5:5" ht="18" customHeight="1">
      <c r="E64" s="25"/>
    </row>
    <row r="65" spans="5:5" ht="18" customHeight="1">
      <c r="E65" s="25"/>
    </row>
    <row r="66" spans="5:5" ht="18" customHeight="1">
      <c r="E66" s="25"/>
    </row>
    <row r="67" spans="5:5" ht="18" customHeight="1">
      <c r="E67" s="25"/>
    </row>
    <row r="68" spans="5:5" ht="18" customHeight="1">
      <c r="E68" s="25"/>
    </row>
    <row r="69" spans="5:5" ht="18" customHeight="1">
      <c r="E69" s="25"/>
    </row>
  </sheetData>
  <phoneticPr fontId="2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68F6D-BD32-44A1-8126-6DEDF29E4574}">
  <dimension ref="A1:D7"/>
  <sheetViews>
    <sheetView workbookViewId="0">
      <selection activeCell="C19" sqref="C19"/>
    </sheetView>
  </sheetViews>
  <sheetFormatPr defaultColWidth="9.28515625" defaultRowHeight="18" customHeight="1"/>
  <cols>
    <col min="1" max="2" width="19.28515625" style="11" customWidth="1"/>
    <col min="3" max="3" width="28.28515625" style="11" customWidth="1"/>
    <col min="4" max="4" width="19.28515625" style="11" customWidth="1"/>
    <col min="5" max="16384" width="9.28515625" style="9"/>
  </cols>
  <sheetData>
    <row r="1" spans="1:3" ht="18" customHeight="1">
      <c r="A1" s="11" t="s">
        <v>135</v>
      </c>
      <c r="B1" s="11" t="s">
        <v>30</v>
      </c>
      <c r="C1" s="11" t="s">
        <v>136</v>
      </c>
    </row>
    <row r="2" spans="1:3" ht="18" customHeight="1">
      <c r="A2" s="11" t="s">
        <v>162</v>
      </c>
      <c r="B2" s="11">
        <v>30000</v>
      </c>
      <c r="C2" s="11" t="s">
        <v>168</v>
      </c>
    </row>
    <row r="3" spans="1:3" ht="18" customHeight="1">
      <c r="A3" s="11" t="s">
        <v>163</v>
      </c>
      <c r="B3" s="11">
        <v>30500</v>
      </c>
      <c r="C3" s="11" t="s">
        <v>169</v>
      </c>
    </row>
    <row r="4" spans="1:3" ht="18" customHeight="1">
      <c r="A4" s="11" t="s">
        <v>137</v>
      </c>
      <c r="B4" s="11">
        <v>4000</v>
      </c>
      <c r="C4" s="11" t="s">
        <v>138</v>
      </c>
    </row>
    <row r="5" spans="1:3" ht="18" customHeight="1">
      <c r="A5" s="11" t="s">
        <v>139</v>
      </c>
      <c r="B5" s="11">
        <v>4000</v>
      </c>
      <c r="C5" s="11" t="s">
        <v>138</v>
      </c>
    </row>
    <row r="6" spans="1:3" ht="18" customHeight="1">
      <c r="A6" s="11" t="s">
        <v>140</v>
      </c>
      <c r="B6" s="11">
        <v>2000</v>
      </c>
      <c r="C6" s="11" t="s">
        <v>141</v>
      </c>
    </row>
    <row r="7" spans="1:3" ht="18" customHeight="1">
      <c r="A7" s="11" t="s">
        <v>142</v>
      </c>
      <c r="B7" s="11">
        <v>1500</v>
      </c>
      <c r="C7" s="11" t="s">
        <v>143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80372-99CE-4821-85D9-16572C1FD053}">
  <dimension ref="A1:C98"/>
  <sheetViews>
    <sheetView tabSelected="1" workbookViewId="0">
      <selection activeCell="E32" sqref="E32"/>
    </sheetView>
  </sheetViews>
  <sheetFormatPr defaultRowHeight="15"/>
  <cols>
    <col min="1" max="1" width="22.140625" customWidth="1"/>
    <col min="2" max="2" width="30.140625" customWidth="1"/>
    <col min="3" max="3" width="19.28515625" customWidth="1"/>
  </cols>
  <sheetData>
    <row r="1" spans="1:3" ht="16.5">
      <c r="A1" s="36" t="s">
        <v>196</v>
      </c>
      <c r="B1" s="36" t="s">
        <v>199</v>
      </c>
      <c r="C1" s="39" t="s">
        <v>615</v>
      </c>
    </row>
    <row r="2" spans="1:3">
      <c r="A2" s="36" t="s">
        <v>172</v>
      </c>
      <c r="B2" s="36" t="s">
        <v>202</v>
      </c>
      <c r="C2" s="36" t="s">
        <v>362</v>
      </c>
    </row>
    <row r="3" spans="1:3">
      <c r="A3" s="36" t="s">
        <v>172</v>
      </c>
      <c r="B3" s="36" t="s">
        <v>202</v>
      </c>
      <c r="C3" s="36" t="s">
        <v>363</v>
      </c>
    </row>
    <row r="4" spans="1:3">
      <c r="A4" s="36" t="s">
        <v>172</v>
      </c>
      <c r="B4" s="36" t="s">
        <v>201</v>
      </c>
      <c r="C4" s="36" t="s">
        <v>356</v>
      </c>
    </row>
    <row r="5" spans="1:3">
      <c r="A5" s="36" t="s">
        <v>172</v>
      </c>
      <c r="B5" s="36" t="s">
        <v>201</v>
      </c>
      <c r="C5" s="36" t="s">
        <v>583</v>
      </c>
    </row>
    <row r="6" spans="1:3">
      <c r="A6" s="36" t="s">
        <v>172</v>
      </c>
      <c r="B6" s="36" t="s">
        <v>201</v>
      </c>
      <c r="C6" s="36" t="s">
        <v>357</v>
      </c>
    </row>
    <row r="7" spans="1:3">
      <c r="A7" s="36" t="s">
        <v>172</v>
      </c>
      <c r="B7" s="36" t="s">
        <v>201</v>
      </c>
      <c r="C7" s="36" t="s">
        <v>584</v>
      </c>
    </row>
    <row r="8" spans="1:3">
      <c r="A8" s="36" t="s">
        <v>172</v>
      </c>
      <c r="B8" s="36" t="s">
        <v>16</v>
      </c>
      <c r="C8" s="35"/>
    </row>
    <row r="9" spans="1:3">
      <c r="A9" s="36" t="s">
        <v>172</v>
      </c>
      <c r="B9" s="36" t="s">
        <v>16</v>
      </c>
      <c r="C9" s="35"/>
    </row>
    <row r="10" spans="1:3">
      <c r="A10" s="36" t="s">
        <v>195</v>
      </c>
      <c r="B10" s="36" t="s">
        <v>348</v>
      </c>
      <c r="C10" s="36" t="s">
        <v>526</v>
      </c>
    </row>
    <row r="11" spans="1:3">
      <c r="A11" s="36" t="s">
        <v>195</v>
      </c>
      <c r="B11" s="36" t="s">
        <v>348</v>
      </c>
      <c r="C11" s="36" t="s">
        <v>579</v>
      </c>
    </row>
    <row r="12" spans="1:3">
      <c r="A12" s="36" t="s">
        <v>195</v>
      </c>
      <c r="B12" s="36" t="s">
        <v>347</v>
      </c>
      <c r="C12" s="36" t="s">
        <v>525</v>
      </c>
    </row>
    <row r="13" spans="1:3">
      <c r="A13" s="36" t="s">
        <v>195</v>
      </c>
      <c r="B13" s="36" t="s">
        <v>352</v>
      </c>
      <c r="C13" s="36" t="s">
        <v>526</v>
      </c>
    </row>
    <row r="14" spans="1:3">
      <c r="A14" s="36" t="s">
        <v>195</v>
      </c>
      <c r="B14" s="36" t="s">
        <v>345</v>
      </c>
      <c r="C14" s="36" t="s">
        <v>525</v>
      </c>
    </row>
    <row r="15" spans="1:3">
      <c r="A15" s="36" t="s">
        <v>195</v>
      </c>
      <c r="B15" s="36" t="s">
        <v>353</v>
      </c>
      <c r="C15" s="36" t="s">
        <v>526</v>
      </c>
    </row>
    <row r="16" spans="1:3">
      <c r="A16" s="36" t="s">
        <v>195</v>
      </c>
      <c r="B16" s="36" t="s">
        <v>346</v>
      </c>
      <c r="C16" s="36" t="s">
        <v>585</v>
      </c>
    </row>
    <row r="17" spans="1:3">
      <c r="A17" s="36" t="s">
        <v>148</v>
      </c>
      <c r="B17" s="36" t="s">
        <v>586</v>
      </c>
      <c r="C17" s="35"/>
    </row>
    <row r="18" spans="1:3">
      <c r="A18" s="36" t="s">
        <v>148</v>
      </c>
      <c r="B18" s="36" t="s">
        <v>317</v>
      </c>
      <c r="C18" s="35"/>
    </row>
    <row r="19" spans="1:3">
      <c r="A19" s="36" t="s">
        <v>193</v>
      </c>
      <c r="B19" s="36" t="s">
        <v>341</v>
      </c>
      <c r="C19" s="36"/>
    </row>
    <row r="20" spans="1:3">
      <c r="A20" s="36" t="s">
        <v>193</v>
      </c>
      <c r="B20" s="36" t="s">
        <v>340</v>
      </c>
      <c r="C20" s="35"/>
    </row>
    <row r="21" spans="1:3">
      <c r="A21" s="36" t="s">
        <v>193</v>
      </c>
      <c r="B21" s="36" t="s">
        <v>339</v>
      </c>
      <c r="C21" s="35"/>
    </row>
    <row r="22" spans="1:3">
      <c r="A22" s="36" t="s">
        <v>193</v>
      </c>
      <c r="B22" s="36" t="s">
        <v>338</v>
      </c>
      <c r="C22" s="35"/>
    </row>
    <row r="23" spans="1:3">
      <c r="A23" s="36" t="s">
        <v>193</v>
      </c>
      <c r="B23" s="36" t="s">
        <v>331</v>
      </c>
      <c r="C23" s="36" t="s">
        <v>566</v>
      </c>
    </row>
    <row r="24" spans="1:3">
      <c r="A24" s="36" t="s">
        <v>193</v>
      </c>
      <c r="B24" s="36" t="s">
        <v>334</v>
      </c>
      <c r="C24" s="36" t="s">
        <v>566</v>
      </c>
    </row>
    <row r="25" spans="1:3">
      <c r="A25" s="36" t="s">
        <v>193</v>
      </c>
      <c r="B25" s="36" t="s">
        <v>336</v>
      </c>
      <c r="C25" s="36" t="s">
        <v>567</v>
      </c>
    </row>
    <row r="26" spans="1:3">
      <c r="A26" s="36" t="s">
        <v>193</v>
      </c>
      <c r="B26" s="36" t="s">
        <v>337</v>
      </c>
      <c r="C26" s="36" t="s">
        <v>567</v>
      </c>
    </row>
    <row r="27" spans="1:3">
      <c r="A27" s="36" t="s">
        <v>187</v>
      </c>
      <c r="B27" s="36" t="s">
        <v>321</v>
      </c>
      <c r="C27" s="36" t="s">
        <v>553</v>
      </c>
    </row>
    <row r="28" spans="1:3">
      <c r="A28" s="36" t="s">
        <v>187</v>
      </c>
      <c r="B28" s="36" t="s">
        <v>320</v>
      </c>
      <c r="C28" s="36" t="s">
        <v>549</v>
      </c>
    </row>
    <row r="29" spans="1:3">
      <c r="A29" s="36" t="s">
        <v>187</v>
      </c>
      <c r="B29" s="36" t="s">
        <v>587</v>
      </c>
      <c r="C29" s="35"/>
    </row>
    <row r="30" spans="1:3">
      <c r="A30" s="36" t="s">
        <v>187</v>
      </c>
      <c r="B30" s="36" t="s">
        <v>149</v>
      </c>
      <c r="C30" s="35"/>
    </row>
    <row r="31" spans="1:3">
      <c r="A31" s="36" t="s">
        <v>187</v>
      </c>
      <c r="B31" s="36" t="s">
        <v>319</v>
      </c>
      <c r="C31" s="35"/>
    </row>
    <row r="32" spans="1:3">
      <c r="A32" s="36" t="s">
        <v>187</v>
      </c>
      <c r="B32" s="36" t="s">
        <v>318</v>
      </c>
      <c r="C32" s="35"/>
    </row>
    <row r="33" spans="1:3">
      <c r="A33" s="36" t="s">
        <v>188</v>
      </c>
      <c r="B33" s="36" t="s">
        <v>324</v>
      </c>
      <c r="C33" s="35"/>
    </row>
    <row r="34" spans="1:3">
      <c r="A34" s="36" t="s">
        <v>188</v>
      </c>
      <c r="B34" s="36" t="s">
        <v>323</v>
      </c>
      <c r="C34" s="35"/>
    </row>
    <row r="35" spans="1:3">
      <c r="A35" s="36" t="s">
        <v>188</v>
      </c>
      <c r="B35" s="36" t="s">
        <v>150</v>
      </c>
      <c r="C35" s="35"/>
    </row>
    <row r="36" spans="1:3">
      <c r="A36" s="36" t="s">
        <v>188</v>
      </c>
      <c r="B36" s="36" t="s">
        <v>322</v>
      </c>
      <c r="C36" s="35"/>
    </row>
    <row r="37" spans="1:3">
      <c r="A37" s="36" t="s">
        <v>189</v>
      </c>
      <c r="B37" s="36" t="s">
        <v>151</v>
      </c>
      <c r="C37" s="35"/>
    </row>
    <row r="38" spans="1:3">
      <c r="A38" s="36" t="s">
        <v>189</v>
      </c>
      <c r="B38" s="36" t="s">
        <v>328</v>
      </c>
      <c r="C38" s="35"/>
    </row>
    <row r="39" spans="1:3">
      <c r="A39" s="36" t="s">
        <v>189</v>
      </c>
      <c r="B39" s="36" t="s">
        <v>329</v>
      </c>
      <c r="C39" s="35"/>
    </row>
    <row r="40" spans="1:3">
      <c r="A40" s="36" t="s">
        <v>189</v>
      </c>
      <c r="B40" s="36" t="s">
        <v>326</v>
      </c>
      <c r="C40" s="35"/>
    </row>
    <row r="41" spans="1:3">
      <c r="A41" s="36" t="s">
        <v>189</v>
      </c>
      <c r="B41" s="36" t="s">
        <v>327</v>
      </c>
      <c r="C41" s="35"/>
    </row>
    <row r="42" spans="1:3" ht="16.5">
      <c r="A42" s="37" t="s">
        <v>614</v>
      </c>
      <c r="B42" s="36" t="s">
        <v>152</v>
      </c>
      <c r="C42" s="36" t="s">
        <v>480</v>
      </c>
    </row>
    <row r="43" spans="1:3" ht="16.5">
      <c r="A43" s="37" t="s">
        <v>614</v>
      </c>
      <c r="B43" s="36" t="s">
        <v>152</v>
      </c>
      <c r="C43" s="36" t="s">
        <v>481</v>
      </c>
    </row>
    <row r="44" spans="1:3">
      <c r="A44" s="38" t="s">
        <v>154</v>
      </c>
      <c r="B44" s="36" t="s">
        <v>153</v>
      </c>
      <c r="C44" s="36" t="s">
        <v>482</v>
      </c>
    </row>
    <row r="45" spans="1:3">
      <c r="A45" s="38" t="s">
        <v>154</v>
      </c>
      <c r="B45" s="36" t="s">
        <v>276</v>
      </c>
      <c r="C45" s="36" t="s">
        <v>502</v>
      </c>
    </row>
    <row r="46" spans="1:3">
      <c r="A46" s="38" t="s">
        <v>154</v>
      </c>
      <c r="B46" s="36" t="s">
        <v>275</v>
      </c>
      <c r="C46" s="36" t="s">
        <v>495</v>
      </c>
    </row>
    <row r="47" spans="1:3">
      <c r="A47" s="38" t="s">
        <v>154</v>
      </c>
      <c r="B47" s="36" t="s">
        <v>274</v>
      </c>
      <c r="C47" s="36" t="s">
        <v>479</v>
      </c>
    </row>
    <row r="48" spans="1:3">
      <c r="A48" s="38" t="s">
        <v>154</v>
      </c>
      <c r="B48" s="36" t="s">
        <v>270</v>
      </c>
      <c r="C48" s="36"/>
    </row>
    <row r="49" spans="1:3">
      <c r="A49" s="38" t="s">
        <v>154</v>
      </c>
      <c r="B49" s="36" t="s">
        <v>273</v>
      </c>
      <c r="C49" s="36" t="s">
        <v>492</v>
      </c>
    </row>
    <row r="50" spans="1:3">
      <c r="A50" s="38" t="s">
        <v>154</v>
      </c>
      <c r="B50" s="36" t="s">
        <v>272</v>
      </c>
      <c r="C50" s="36" t="s">
        <v>405</v>
      </c>
    </row>
    <row r="51" spans="1:3">
      <c r="A51" s="38" t="s">
        <v>154</v>
      </c>
      <c r="B51" s="36" t="s">
        <v>271</v>
      </c>
      <c r="C51" s="36" t="s">
        <v>588</v>
      </c>
    </row>
    <row r="52" spans="1:3">
      <c r="A52" s="38" t="s">
        <v>154</v>
      </c>
      <c r="B52" s="36" t="s">
        <v>271</v>
      </c>
      <c r="C52" s="36" t="s">
        <v>589</v>
      </c>
    </row>
    <row r="53" spans="1:3">
      <c r="A53" s="38" t="s">
        <v>154</v>
      </c>
      <c r="B53" s="36" t="s">
        <v>271</v>
      </c>
      <c r="C53" s="36" t="s">
        <v>590</v>
      </c>
    </row>
    <row r="54" spans="1:3">
      <c r="A54" s="38" t="s">
        <v>154</v>
      </c>
      <c r="B54" s="36" t="s">
        <v>269</v>
      </c>
      <c r="C54" s="36" t="s">
        <v>474</v>
      </c>
    </row>
    <row r="55" spans="1:3">
      <c r="A55" s="36" t="s">
        <v>155</v>
      </c>
      <c r="B55" s="36" t="s">
        <v>591</v>
      </c>
      <c r="C55" s="35"/>
    </row>
    <row r="56" spans="1:3">
      <c r="A56" s="36" t="s">
        <v>155</v>
      </c>
      <c r="B56" s="36" t="s">
        <v>325</v>
      </c>
      <c r="C56" s="35"/>
    </row>
    <row r="57" spans="1:3">
      <c r="A57" s="36" t="s">
        <v>186</v>
      </c>
      <c r="B57" s="36" t="s">
        <v>297</v>
      </c>
      <c r="C57" s="36" t="s">
        <v>592</v>
      </c>
    </row>
    <row r="58" spans="1:3">
      <c r="A58" s="36" t="s">
        <v>186</v>
      </c>
      <c r="B58" s="36" t="s">
        <v>296</v>
      </c>
      <c r="C58" s="36" t="s">
        <v>593</v>
      </c>
    </row>
    <row r="59" spans="1:3">
      <c r="A59" s="36" t="s">
        <v>186</v>
      </c>
      <c r="B59" s="36" t="s">
        <v>296</v>
      </c>
      <c r="C59" s="36" t="s">
        <v>594</v>
      </c>
    </row>
    <row r="60" spans="1:3">
      <c r="A60" s="36" t="s">
        <v>186</v>
      </c>
      <c r="B60" s="36" t="s">
        <v>296</v>
      </c>
      <c r="C60" s="36" t="s">
        <v>595</v>
      </c>
    </row>
    <row r="61" spans="1:3">
      <c r="A61" s="36" t="s">
        <v>186</v>
      </c>
      <c r="B61" s="36" t="s">
        <v>296</v>
      </c>
      <c r="C61" s="36" t="s">
        <v>596</v>
      </c>
    </row>
    <row r="62" spans="1:3">
      <c r="A62" s="36" t="s">
        <v>186</v>
      </c>
      <c r="B62" s="36" t="s">
        <v>159</v>
      </c>
      <c r="C62" s="36" t="s">
        <v>597</v>
      </c>
    </row>
    <row r="63" spans="1:3">
      <c r="A63" s="36" t="s">
        <v>186</v>
      </c>
      <c r="B63" s="36" t="s">
        <v>159</v>
      </c>
      <c r="C63" s="36" t="s">
        <v>598</v>
      </c>
    </row>
    <row r="64" spans="1:3">
      <c r="A64" s="36" t="s">
        <v>186</v>
      </c>
      <c r="B64" s="36" t="s">
        <v>300</v>
      </c>
      <c r="C64" s="36" t="s">
        <v>599</v>
      </c>
    </row>
    <row r="65" spans="1:3">
      <c r="A65" s="36" t="s">
        <v>186</v>
      </c>
      <c r="B65" s="36" t="s">
        <v>311</v>
      </c>
      <c r="C65" s="36" t="s">
        <v>600</v>
      </c>
    </row>
    <row r="66" spans="1:3">
      <c r="A66" s="36" t="s">
        <v>186</v>
      </c>
      <c r="B66" s="36" t="s">
        <v>292</v>
      </c>
      <c r="C66" s="36" t="s">
        <v>601</v>
      </c>
    </row>
    <row r="67" spans="1:3">
      <c r="A67" s="36" t="s">
        <v>186</v>
      </c>
      <c r="B67" s="36" t="s">
        <v>293</v>
      </c>
      <c r="C67" s="36" t="s">
        <v>602</v>
      </c>
    </row>
    <row r="68" spans="1:3">
      <c r="A68" s="36" t="s">
        <v>186</v>
      </c>
      <c r="B68" s="36" t="s">
        <v>294</v>
      </c>
      <c r="C68" s="36" t="s">
        <v>80</v>
      </c>
    </row>
    <row r="69" spans="1:3">
      <c r="A69" s="36" t="s">
        <v>186</v>
      </c>
      <c r="B69" s="36" t="s">
        <v>298</v>
      </c>
      <c r="C69" s="36" t="s">
        <v>603</v>
      </c>
    </row>
    <row r="70" spans="1:3">
      <c r="A70" s="36" t="s">
        <v>186</v>
      </c>
      <c r="B70" s="36" t="s">
        <v>299</v>
      </c>
      <c r="C70" s="36" t="s">
        <v>533</v>
      </c>
    </row>
    <row r="71" spans="1:3">
      <c r="A71" s="36" t="s">
        <v>186</v>
      </c>
      <c r="B71" s="36" t="s">
        <v>299</v>
      </c>
      <c r="C71" s="36" t="s">
        <v>534</v>
      </c>
    </row>
    <row r="72" spans="1:3">
      <c r="A72" s="36" t="s">
        <v>186</v>
      </c>
      <c r="B72" s="36" t="s">
        <v>604</v>
      </c>
      <c r="C72" s="36" t="s">
        <v>605</v>
      </c>
    </row>
    <row r="73" spans="1:3">
      <c r="A73" s="36" t="s">
        <v>186</v>
      </c>
      <c r="B73" s="36" t="s">
        <v>308</v>
      </c>
      <c r="C73" s="36" t="s">
        <v>606</v>
      </c>
    </row>
    <row r="74" spans="1:3">
      <c r="A74" s="36" t="s">
        <v>186</v>
      </c>
      <c r="B74" s="36" t="s">
        <v>308</v>
      </c>
      <c r="C74" s="36" t="s">
        <v>607</v>
      </c>
    </row>
    <row r="75" spans="1:3">
      <c r="A75" s="36" t="s">
        <v>186</v>
      </c>
      <c r="B75" s="36" t="s">
        <v>309</v>
      </c>
      <c r="C75" s="36" t="s">
        <v>608</v>
      </c>
    </row>
    <row r="76" spans="1:3">
      <c r="A76" s="36" t="s">
        <v>186</v>
      </c>
      <c r="B76" s="36" t="s">
        <v>309</v>
      </c>
      <c r="C76" s="36" t="s">
        <v>609</v>
      </c>
    </row>
    <row r="77" spans="1:3">
      <c r="A77" s="36" t="s">
        <v>186</v>
      </c>
      <c r="B77" s="36" t="s">
        <v>309</v>
      </c>
      <c r="C77" s="36" t="s">
        <v>610</v>
      </c>
    </row>
    <row r="78" spans="1:3">
      <c r="A78" s="36" t="s">
        <v>186</v>
      </c>
      <c r="B78" s="36" t="s">
        <v>158</v>
      </c>
      <c r="C78" s="36" t="s">
        <v>542</v>
      </c>
    </row>
    <row r="79" spans="1:3">
      <c r="A79" s="36" t="s">
        <v>186</v>
      </c>
      <c r="B79" s="36" t="s">
        <v>146</v>
      </c>
      <c r="C79" s="36" t="s">
        <v>542</v>
      </c>
    </row>
    <row r="80" spans="1:3">
      <c r="A80" s="36" t="s">
        <v>186</v>
      </c>
      <c r="B80" s="36" t="s">
        <v>281</v>
      </c>
      <c r="C80" s="35"/>
    </row>
    <row r="81" spans="1:3">
      <c r="A81" s="36" t="s">
        <v>186</v>
      </c>
      <c r="B81" s="36" t="s">
        <v>161</v>
      </c>
      <c r="C81" s="35"/>
    </row>
    <row r="82" spans="1:3">
      <c r="A82" s="36" t="s">
        <v>186</v>
      </c>
      <c r="B82" s="36" t="s">
        <v>301</v>
      </c>
      <c r="C82" s="35"/>
    </row>
    <row r="83" spans="1:3">
      <c r="A83" s="36" t="s">
        <v>186</v>
      </c>
      <c r="B83" s="36" t="s">
        <v>313</v>
      </c>
      <c r="C83" s="35"/>
    </row>
    <row r="84" spans="1:3">
      <c r="A84" s="36" t="s">
        <v>186</v>
      </c>
      <c r="B84" s="36" t="s">
        <v>314</v>
      </c>
      <c r="C84" s="35"/>
    </row>
    <row r="85" spans="1:3">
      <c r="A85" s="36" t="s">
        <v>186</v>
      </c>
      <c r="B85" s="36" t="s">
        <v>316</v>
      </c>
      <c r="C85" s="36" t="s">
        <v>544</v>
      </c>
    </row>
    <row r="86" spans="1:3">
      <c r="A86" s="36" t="s">
        <v>186</v>
      </c>
      <c r="B86" s="36" t="s">
        <v>307</v>
      </c>
      <c r="C86" s="36" t="s">
        <v>540</v>
      </c>
    </row>
    <row r="87" spans="1:3">
      <c r="A87" s="36" t="s">
        <v>186</v>
      </c>
      <c r="B87" s="36" t="s">
        <v>315</v>
      </c>
      <c r="C87" s="36" t="s">
        <v>543</v>
      </c>
    </row>
    <row r="88" spans="1:3">
      <c r="A88" s="36" t="s">
        <v>186</v>
      </c>
      <c r="B88" s="36" t="s">
        <v>184</v>
      </c>
      <c r="C88" s="36" t="s">
        <v>536</v>
      </c>
    </row>
    <row r="89" spans="1:3">
      <c r="A89" s="36" t="s">
        <v>186</v>
      </c>
      <c r="B89" s="36" t="s">
        <v>304</v>
      </c>
      <c r="C89" s="36" t="s">
        <v>537</v>
      </c>
    </row>
    <row r="90" spans="1:3">
      <c r="A90" s="36" t="s">
        <v>186</v>
      </c>
      <c r="B90" s="36" t="s">
        <v>304</v>
      </c>
      <c r="C90" s="36" t="s">
        <v>538</v>
      </c>
    </row>
    <row r="91" spans="1:3">
      <c r="A91" s="36" t="s">
        <v>186</v>
      </c>
      <c r="B91" s="36" t="s">
        <v>310</v>
      </c>
      <c r="C91" s="36" t="s">
        <v>541</v>
      </c>
    </row>
    <row r="92" spans="1:3">
      <c r="A92" s="36" t="s">
        <v>186</v>
      </c>
      <c r="B92" s="36" t="s">
        <v>306</v>
      </c>
      <c r="C92" s="36" t="s">
        <v>539</v>
      </c>
    </row>
    <row r="93" spans="1:3">
      <c r="A93" s="36" t="s">
        <v>186</v>
      </c>
      <c r="B93" s="36" t="s">
        <v>295</v>
      </c>
      <c r="C93" s="36" t="s">
        <v>524</v>
      </c>
    </row>
    <row r="94" spans="1:3">
      <c r="A94" s="36" t="s">
        <v>186</v>
      </c>
      <c r="B94" s="36" t="s">
        <v>278</v>
      </c>
      <c r="C94" s="36" t="s">
        <v>532</v>
      </c>
    </row>
    <row r="95" spans="1:3">
      <c r="A95" s="36" t="s">
        <v>186</v>
      </c>
      <c r="B95" s="36" t="s">
        <v>278</v>
      </c>
      <c r="C95" s="36" t="s">
        <v>611</v>
      </c>
    </row>
    <row r="96" spans="1:3">
      <c r="A96" s="36" t="s">
        <v>186</v>
      </c>
      <c r="B96" s="36" t="s">
        <v>284</v>
      </c>
      <c r="C96" s="36" t="s">
        <v>612</v>
      </c>
    </row>
    <row r="97" spans="1:3">
      <c r="A97" s="36" t="s">
        <v>186</v>
      </c>
      <c r="B97" s="36" t="s">
        <v>281</v>
      </c>
      <c r="C97" s="36" t="s">
        <v>530</v>
      </c>
    </row>
    <row r="98" spans="1:3">
      <c r="A98" s="36" t="s">
        <v>186</v>
      </c>
      <c r="B98" s="36" t="s">
        <v>280</v>
      </c>
      <c r="C98" s="36" t="s">
        <v>512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67062-5A63-4BDE-AEB9-2C2A671D2D0E}">
  <dimension ref="A1:H616"/>
  <sheetViews>
    <sheetView workbookViewId="0">
      <selection activeCell="H4" sqref="H4:O4"/>
    </sheetView>
  </sheetViews>
  <sheetFormatPr defaultColWidth="9.28515625" defaultRowHeight="18" customHeight="1"/>
  <cols>
    <col min="1" max="1" width="21.42578125" style="26" customWidth="1"/>
    <col min="2" max="2" width="24.140625" style="26" customWidth="1"/>
    <col min="3" max="3" width="38.7109375" style="26" customWidth="1"/>
    <col min="4" max="4" width="15" style="19" customWidth="1"/>
    <col min="5" max="5" width="8.85546875" style="11" customWidth="1"/>
    <col min="6" max="16384" width="9.28515625" style="9"/>
  </cols>
  <sheetData>
    <row r="1" spans="1:8" ht="18" customHeight="1">
      <c r="A1" s="32" t="s">
        <v>197</v>
      </c>
      <c r="B1" s="32" t="s">
        <v>200</v>
      </c>
      <c r="C1" s="32" t="s">
        <v>613</v>
      </c>
      <c r="D1" s="19" t="s">
        <v>30</v>
      </c>
    </row>
    <row r="2" spans="1:8" ht="18" customHeight="1">
      <c r="A2" s="40" t="s">
        <v>198</v>
      </c>
      <c r="B2" s="40" t="s">
        <v>16</v>
      </c>
      <c r="C2" s="40" t="s">
        <v>355</v>
      </c>
      <c r="D2" s="19">
        <v>1500</v>
      </c>
    </row>
    <row r="3" spans="1:8" ht="18" customHeight="1">
      <c r="A3" s="40" t="s">
        <v>172</v>
      </c>
      <c r="B3" s="40" t="s">
        <v>201</v>
      </c>
      <c r="C3" s="40" t="s">
        <v>356</v>
      </c>
      <c r="D3" s="19">
        <v>2000</v>
      </c>
    </row>
    <row r="4" spans="1:8" ht="18" customHeight="1">
      <c r="A4" s="40" t="s">
        <v>172</v>
      </c>
      <c r="B4" s="40" t="s">
        <v>201</v>
      </c>
      <c r="C4" s="40" t="s">
        <v>357</v>
      </c>
      <c r="D4" s="19">
        <v>3150</v>
      </c>
      <c r="H4" s="9" t="s">
        <v>581</v>
      </c>
    </row>
    <row r="5" spans="1:8" ht="18" customHeight="1">
      <c r="A5" s="40" t="s">
        <v>172</v>
      </c>
      <c r="B5" s="40" t="s">
        <v>201</v>
      </c>
      <c r="C5" s="40" t="s">
        <v>358</v>
      </c>
      <c r="D5" s="19">
        <v>500</v>
      </c>
      <c r="H5" s="9" t="s">
        <v>582</v>
      </c>
    </row>
    <row r="6" spans="1:8" ht="18" customHeight="1">
      <c r="A6" s="40" t="s">
        <v>198</v>
      </c>
      <c r="B6" s="40" t="s">
        <v>201</v>
      </c>
      <c r="C6" s="40" t="s">
        <v>359</v>
      </c>
      <c r="D6" s="19">
        <v>1000</v>
      </c>
    </row>
    <row r="7" spans="1:8" ht="18" customHeight="1">
      <c r="A7" s="40" t="s">
        <v>172</v>
      </c>
      <c r="B7" s="40" t="s">
        <v>201</v>
      </c>
      <c r="C7" s="40" t="s">
        <v>360</v>
      </c>
      <c r="D7" s="19">
        <v>4000</v>
      </c>
    </row>
    <row r="8" spans="1:8" ht="18" customHeight="1">
      <c r="A8" s="40" t="s">
        <v>172</v>
      </c>
      <c r="B8" s="40" t="s">
        <v>201</v>
      </c>
      <c r="C8" s="40" t="s">
        <v>361</v>
      </c>
      <c r="D8" s="19">
        <v>999</v>
      </c>
    </row>
    <row r="9" spans="1:8" ht="18" customHeight="1">
      <c r="A9" s="40" t="s">
        <v>172</v>
      </c>
      <c r="B9" s="40" t="s">
        <v>201</v>
      </c>
      <c r="C9" s="40" t="s">
        <v>355</v>
      </c>
      <c r="D9" s="19">
        <v>999</v>
      </c>
    </row>
    <row r="10" spans="1:8" ht="18" customHeight="1">
      <c r="A10" s="40" t="s">
        <v>172</v>
      </c>
      <c r="B10" s="40" t="s">
        <v>202</v>
      </c>
      <c r="C10" s="40" t="s">
        <v>362</v>
      </c>
      <c r="D10" s="19">
        <v>999</v>
      </c>
    </row>
    <row r="11" spans="1:8" ht="18" customHeight="1">
      <c r="A11" s="40" t="s">
        <v>172</v>
      </c>
      <c r="B11" s="40" t="s">
        <v>202</v>
      </c>
      <c r="C11" s="40" t="s">
        <v>363</v>
      </c>
      <c r="D11" s="27">
        <v>3950</v>
      </c>
    </row>
    <row r="12" spans="1:8" ht="18" customHeight="1">
      <c r="A12" s="40" t="s">
        <v>172</v>
      </c>
      <c r="B12" s="40" t="s">
        <v>202</v>
      </c>
      <c r="C12" s="40" t="s">
        <v>364</v>
      </c>
      <c r="D12" s="27">
        <v>4600</v>
      </c>
    </row>
    <row r="13" spans="1:8" ht="18" customHeight="1">
      <c r="A13" s="40" t="s">
        <v>173</v>
      </c>
      <c r="B13" s="40" t="s">
        <v>203</v>
      </c>
      <c r="C13" s="40" t="s">
        <v>365</v>
      </c>
      <c r="D13" s="19">
        <v>35000</v>
      </c>
    </row>
    <row r="14" spans="1:8" ht="18" customHeight="1">
      <c r="A14" s="40" t="s">
        <v>173</v>
      </c>
      <c r="B14" s="40" t="s">
        <v>204</v>
      </c>
      <c r="C14" s="40" t="s">
        <v>366</v>
      </c>
      <c r="D14" s="19">
        <v>15000</v>
      </c>
    </row>
    <row r="15" spans="1:8" ht="18" customHeight="1">
      <c r="A15" s="40" t="s">
        <v>157</v>
      </c>
      <c r="B15" s="40" t="s">
        <v>205</v>
      </c>
      <c r="C15" s="40" t="s">
        <v>367</v>
      </c>
      <c r="D15" s="19">
        <v>999</v>
      </c>
    </row>
    <row r="16" spans="1:8" ht="18" customHeight="1">
      <c r="A16" s="40" t="s">
        <v>617</v>
      </c>
      <c r="B16" s="40" t="s">
        <v>616</v>
      </c>
      <c r="C16" s="40" t="s">
        <v>618</v>
      </c>
      <c r="D16" s="19">
        <v>6000</v>
      </c>
    </row>
    <row r="17" spans="1:4" ht="18" customHeight="1">
      <c r="A17" s="40" t="s">
        <v>174</v>
      </c>
      <c r="B17" s="40" t="s">
        <v>206</v>
      </c>
      <c r="C17" s="40" t="s">
        <v>368</v>
      </c>
      <c r="D17" s="19">
        <v>999</v>
      </c>
    </row>
    <row r="18" spans="1:4" ht="18" customHeight="1">
      <c r="A18" s="40" t="s">
        <v>174</v>
      </c>
      <c r="B18" s="40" t="s">
        <v>207</v>
      </c>
      <c r="C18" s="40" t="s">
        <v>369</v>
      </c>
      <c r="D18" s="19">
        <v>999</v>
      </c>
    </row>
    <row r="19" spans="1:4" ht="18" customHeight="1">
      <c r="A19" s="40" t="s">
        <v>174</v>
      </c>
      <c r="B19" s="40" t="s">
        <v>208</v>
      </c>
      <c r="C19" s="40" t="s">
        <v>370</v>
      </c>
      <c r="D19" s="19">
        <v>999</v>
      </c>
    </row>
    <row r="20" spans="1:4" ht="18" customHeight="1">
      <c r="A20" s="40" t="s">
        <v>174</v>
      </c>
      <c r="B20" s="40" t="s">
        <v>209</v>
      </c>
      <c r="C20" s="40" t="s">
        <v>371</v>
      </c>
      <c r="D20" s="19">
        <v>999</v>
      </c>
    </row>
    <row r="21" spans="1:4" ht="18" customHeight="1">
      <c r="A21" s="40" t="s">
        <v>175</v>
      </c>
      <c r="B21" s="40" t="s">
        <v>210</v>
      </c>
      <c r="C21" s="40" t="s">
        <v>372</v>
      </c>
      <c r="D21" s="27">
        <v>7250</v>
      </c>
    </row>
    <row r="22" spans="1:4" ht="18" customHeight="1">
      <c r="A22" s="40" t="s">
        <v>175</v>
      </c>
      <c r="B22" s="40" t="s">
        <v>211</v>
      </c>
      <c r="C22" s="40" t="s">
        <v>373</v>
      </c>
      <c r="D22" s="27">
        <v>11500</v>
      </c>
    </row>
    <row r="23" spans="1:4" ht="18" customHeight="1">
      <c r="A23" s="40" t="s">
        <v>176</v>
      </c>
      <c r="B23" s="40" t="s">
        <v>212</v>
      </c>
      <c r="C23" s="40" t="s">
        <v>374</v>
      </c>
      <c r="D23" s="27">
        <v>5750</v>
      </c>
    </row>
    <row r="24" spans="1:4" ht="18" customHeight="1">
      <c r="A24" s="40" t="s">
        <v>176</v>
      </c>
      <c r="B24" s="40" t="s">
        <v>213</v>
      </c>
      <c r="C24" s="40" t="s">
        <v>375</v>
      </c>
      <c r="D24" s="27">
        <v>2380</v>
      </c>
    </row>
    <row r="25" spans="1:4" ht="18" customHeight="1">
      <c r="A25" s="40" t="s">
        <v>177</v>
      </c>
      <c r="B25" s="40" t="s">
        <v>214</v>
      </c>
      <c r="C25" s="40"/>
      <c r="D25" s="27">
        <v>15000</v>
      </c>
    </row>
    <row r="26" spans="1:4" ht="18" customHeight="1">
      <c r="A26" s="40" t="s">
        <v>177</v>
      </c>
      <c r="B26" s="40" t="s">
        <v>214</v>
      </c>
      <c r="C26" s="40"/>
      <c r="D26" s="27">
        <v>570</v>
      </c>
    </row>
    <row r="27" spans="1:4" ht="18" customHeight="1">
      <c r="A27" s="40" t="s">
        <v>177</v>
      </c>
      <c r="B27" s="40" t="s">
        <v>214</v>
      </c>
      <c r="C27" s="40"/>
      <c r="D27" s="27">
        <v>1000</v>
      </c>
    </row>
    <row r="28" spans="1:4" ht="18" customHeight="1">
      <c r="A28" s="40" t="s">
        <v>177</v>
      </c>
      <c r="B28" s="40" t="s">
        <v>214</v>
      </c>
      <c r="C28" s="40"/>
      <c r="D28" s="27">
        <v>800</v>
      </c>
    </row>
    <row r="29" spans="1:4" ht="18" customHeight="1">
      <c r="A29" s="40" t="s">
        <v>178</v>
      </c>
      <c r="B29" s="40" t="s">
        <v>215</v>
      </c>
      <c r="C29" s="40" t="s">
        <v>376</v>
      </c>
      <c r="D29" s="27">
        <v>3000</v>
      </c>
    </row>
    <row r="30" spans="1:4" ht="18" customHeight="1">
      <c r="A30" s="40" t="s">
        <v>178</v>
      </c>
      <c r="B30" s="40" t="s">
        <v>216</v>
      </c>
      <c r="C30" s="40" t="s">
        <v>377</v>
      </c>
      <c r="D30" s="27">
        <v>5500</v>
      </c>
    </row>
    <row r="31" spans="1:4" ht="18" customHeight="1">
      <c r="A31" s="40" t="s">
        <v>178</v>
      </c>
      <c r="B31" s="40" t="s">
        <v>217</v>
      </c>
      <c r="C31" s="40" t="s">
        <v>378</v>
      </c>
      <c r="D31" s="27">
        <v>6000</v>
      </c>
    </row>
    <row r="32" spans="1:4" ht="18" customHeight="1">
      <c r="A32" s="40" t="s">
        <v>178</v>
      </c>
      <c r="B32" s="40" t="s">
        <v>218</v>
      </c>
      <c r="C32" s="40" t="s">
        <v>379</v>
      </c>
      <c r="D32" s="27">
        <v>2000</v>
      </c>
    </row>
    <row r="33" spans="1:4" ht="18" customHeight="1">
      <c r="A33" s="40" t="s">
        <v>178</v>
      </c>
      <c r="B33" s="40" t="s">
        <v>219</v>
      </c>
      <c r="C33" s="40" t="s">
        <v>380</v>
      </c>
      <c r="D33" s="19">
        <v>30000</v>
      </c>
    </row>
    <row r="34" spans="1:4" ht="18" customHeight="1">
      <c r="A34" s="40" t="s">
        <v>178</v>
      </c>
      <c r="B34" s="40" t="s">
        <v>220</v>
      </c>
      <c r="C34" s="40" t="s">
        <v>380</v>
      </c>
      <c r="D34" s="27">
        <f>18000/15</f>
        <v>1200</v>
      </c>
    </row>
    <row r="35" spans="1:4" ht="18" customHeight="1">
      <c r="A35" s="40" t="s">
        <v>178</v>
      </c>
      <c r="B35" s="40" t="s">
        <v>221</v>
      </c>
      <c r="C35" s="40" t="s">
        <v>381</v>
      </c>
      <c r="D35" s="27">
        <f>18000/9</f>
        <v>2000</v>
      </c>
    </row>
    <row r="36" spans="1:4" ht="18" customHeight="1">
      <c r="A36" s="40" t="s">
        <v>178</v>
      </c>
      <c r="B36" s="40" t="s">
        <v>221</v>
      </c>
      <c r="C36" s="40" t="s">
        <v>381</v>
      </c>
      <c r="D36" s="19">
        <v>6000</v>
      </c>
    </row>
    <row r="37" spans="1:4" ht="18" customHeight="1">
      <c r="A37" s="40" t="s">
        <v>178</v>
      </c>
      <c r="B37" s="40" t="s">
        <v>222</v>
      </c>
      <c r="C37" s="40" t="s">
        <v>382</v>
      </c>
      <c r="D37" s="19">
        <v>100000</v>
      </c>
    </row>
    <row r="38" spans="1:4" ht="18" customHeight="1">
      <c r="A38" s="40" t="s">
        <v>178</v>
      </c>
      <c r="B38" s="40" t="s">
        <v>223</v>
      </c>
      <c r="C38" s="40" t="s">
        <v>383</v>
      </c>
      <c r="D38" s="27">
        <v>85000</v>
      </c>
    </row>
    <row r="39" spans="1:4" ht="18" customHeight="1">
      <c r="A39" s="40" t="s">
        <v>178</v>
      </c>
      <c r="B39" s="40" t="s">
        <v>224</v>
      </c>
      <c r="C39" s="40" t="s">
        <v>384</v>
      </c>
      <c r="D39" s="27">
        <v>75000</v>
      </c>
    </row>
    <row r="40" spans="1:4" ht="18" customHeight="1">
      <c r="A40" s="40" t="s">
        <v>178</v>
      </c>
      <c r="B40" s="40" t="s">
        <v>225</v>
      </c>
      <c r="C40" s="40" t="s">
        <v>384</v>
      </c>
      <c r="D40" s="27">
        <f>15000/37</f>
        <v>405.40540540540542</v>
      </c>
    </row>
    <row r="41" spans="1:4" ht="18" customHeight="1">
      <c r="A41" s="40" t="s">
        <v>178</v>
      </c>
      <c r="B41" s="40" t="s">
        <v>226</v>
      </c>
      <c r="C41" s="40" t="s">
        <v>385</v>
      </c>
      <c r="D41" s="27">
        <f>15000/16</f>
        <v>937.5</v>
      </c>
    </row>
    <row r="42" spans="1:4" ht="18" customHeight="1">
      <c r="A42" s="40" t="s">
        <v>178</v>
      </c>
      <c r="B42" s="40" t="s">
        <v>227</v>
      </c>
      <c r="C42" s="40" t="s">
        <v>386</v>
      </c>
      <c r="D42" s="27">
        <v>999</v>
      </c>
    </row>
    <row r="43" spans="1:4" ht="18" customHeight="1">
      <c r="A43" s="40" t="s">
        <v>178</v>
      </c>
      <c r="B43" s="40" t="s">
        <v>228</v>
      </c>
      <c r="C43" s="40" t="s">
        <v>387</v>
      </c>
      <c r="D43" s="27">
        <v>999</v>
      </c>
    </row>
    <row r="44" spans="1:4" ht="18" customHeight="1">
      <c r="A44" s="40" t="s">
        <v>178</v>
      </c>
      <c r="B44" s="40" t="s">
        <v>229</v>
      </c>
      <c r="C44" s="40" t="s">
        <v>388</v>
      </c>
      <c r="D44" s="27">
        <v>999</v>
      </c>
    </row>
    <row r="45" spans="1:4" ht="18" customHeight="1">
      <c r="A45" s="40" t="s">
        <v>178</v>
      </c>
      <c r="B45" s="40" t="s">
        <v>230</v>
      </c>
      <c r="C45" s="40" t="s">
        <v>389</v>
      </c>
      <c r="D45" s="19">
        <v>999</v>
      </c>
    </row>
    <row r="46" spans="1:4" ht="18" customHeight="1">
      <c r="A46" s="40" t="s">
        <v>178</v>
      </c>
      <c r="B46" s="40" t="s">
        <v>231</v>
      </c>
      <c r="C46" s="40" t="s">
        <v>376</v>
      </c>
      <c r="D46" s="19">
        <v>12000</v>
      </c>
    </row>
    <row r="47" spans="1:4" ht="18" customHeight="1">
      <c r="A47" s="40" t="s">
        <v>178</v>
      </c>
      <c r="B47" s="40" t="s">
        <v>232</v>
      </c>
      <c r="C47" s="40" t="s">
        <v>390</v>
      </c>
      <c r="D47" s="19">
        <v>4500</v>
      </c>
    </row>
    <row r="48" spans="1:4" ht="18" customHeight="1">
      <c r="A48" s="40" t="s">
        <v>178</v>
      </c>
      <c r="B48" s="40" t="s">
        <v>233</v>
      </c>
      <c r="C48" s="40" t="s">
        <v>391</v>
      </c>
      <c r="D48" s="19">
        <v>1500</v>
      </c>
    </row>
    <row r="49" spans="1:4" ht="18" customHeight="1">
      <c r="A49" s="40" t="s">
        <v>178</v>
      </c>
      <c r="B49" s="40" t="s">
        <v>234</v>
      </c>
      <c r="C49" s="40" t="s">
        <v>378</v>
      </c>
      <c r="D49" s="19">
        <v>37500</v>
      </c>
    </row>
    <row r="50" spans="1:4" ht="18" customHeight="1">
      <c r="A50" s="40" t="s">
        <v>178</v>
      </c>
      <c r="B50" s="40" t="s">
        <v>235</v>
      </c>
      <c r="C50" s="40" t="s">
        <v>392</v>
      </c>
      <c r="D50" s="19">
        <v>41500</v>
      </c>
    </row>
    <row r="51" spans="1:4" ht="18" customHeight="1">
      <c r="A51" s="40" t="s">
        <v>178</v>
      </c>
      <c r="B51" s="40" t="s">
        <v>236</v>
      </c>
      <c r="C51" s="40" t="s">
        <v>383</v>
      </c>
      <c r="D51" s="19">
        <v>45500</v>
      </c>
    </row>
    <row r="52" spans="1:4" ht="18" customHeight="1">
      <c r="A52" s="40" t="s">
        <v>178</v>
      </c>
      <c r="B52" s="40" t="s">
        <v>237</v>
      </c>
      <c r="C52" s="40" t="s">
        <v>393</v>
      </c>
      <c r="D52" s="19">
        <v>49500</v>
      </c>
    </row>
    <row r="53" spans="1:4" ht="18" customHeight="1">
      <c r="A53" s="40" t="s">
        <v>178</v>
      </c>
      <c r="B53" s="40" t="s">
        <v>238</v>
      </c>
      <c r="C53" s="40" t="s">
        <v>394</v>
      </c>
      <c r="D53" s="19">
        <v>55500</v>
      </c>
    </row>
    <row r="54" spans="1:4" ht="18" customHeight="1">
      <c r="A54" s="40" t="s">
        <v>178</v>
      </c>
      <c r="B54" s="40" t="s">
        <v>239</v>
      </c>
      <c r="C54" s="40" t="s">
        <v>387</v>
      </c>
      <c r="D54" s="19">
        <v>58500</v>
      </c>
    </row>
    <row r="55" spans="1:4" ht="18" customHeight="1">
      <c r="A55" s="40" t="s">
        <v>178</v>
      </c>
      <c r="B55" s="40" t="s">
        <v>239</v>
      </c>
      <c r="C55" s="40" t="s">
        <v>379</v>
      </c>
      <c r="D55" s="19">
        <v>61500</v>
      </c>
    </row>
    <row r="56" spans="1:4" ht="18" customHeight="1">
      <c r="A56" s="40" t="s">
        <v>178</v>
      </c>
      <c r="B56" s="40" t="s">
        <v>240</v>
      </c>
      <c r="C56" s="40" t="s">
        <v>395</v>
      </c>
      <c r="D56" s="19">
        <v>66500</v>
      </c>
    </row>
    <row r="57" spans="1:4" ht="18" customHeight="1">
      <c r="A57" s="40" t="s">
        <v>178</v>
      </c>
      <c r="B57" s="40" t="s">
        <v>240</v>
      </c>
      <c r="C57" s="40" t="s">
        <v>380</v>
      </c>
      <c r="D57" s="19">
        <v>3000</v>
      </c>
    </row>
    <row r="58" spans="1:4" ht="18" customHeight="1">
      <c r="A58" s="40" t="s">
        <v>178</v>
      </c>
      <c r="B58" s="40" t="s">
        <v>241</v>
      </c>
      <c r="C58" s="40" t="s">
        <v>382</v>
      </c>
      <c r="D58" s="19">
        <v>500</v>
      </c>
    </row>
    <row r="59" spans="1:4" ht="18" customHeight="1">
      <c r="A59" s="40" t="s">
        <v>178</v>
      </c>
      <c r="B59" s="40" t="s">
        <v>242</v>
      </c>
      <c r="C59" s="40" t="s">
        <v>376</v>
      </c>
      <c r="D59" s="19">
        <v>49500</v>
      </c>
    </row>
    <row r="60" spans="1:4" ht="18" customHeight="1">
      <c r="A60" s="40" t="s">
        <v>178</v>
      </c>
      <c r="B60" s="40" t="s">
        <v>243</v>
      </c>
      <c r="C60" s="40" t="s">
        <v>381</v>
      </c>
      <c r="D60" s="19">
        <v>65000</v>
      </c>
    </row>
    <row r="61" spans="1:4" ht="18" customHeight="1">
      <c r="A61" s="40" t="s">
        <v>178</v>
      </c>
      <c r="B61" s="40" t="s">
        <v>244</v>
      </c>
      <c r="C61" s="40" t="s">
        <v>396</v>
      </c>
      <c r="D61" s="19">
        <v>65000</v>
      </c>
    </row>
    <row r="62" spans="1:4" ht="18" customHeight="1">
      <c r="A62" s="40" t="s">
        <v>178</v>
      </c>
      <c r="B62" s="40" t="s">
        <v>245</v>
      </c>
      <c r="C62" s="40" t="s">
        <v>387</v>
      </c>
      <c r="D62" s="19">
        <v>49500</v>
      </c>
    </row>
    <row r="63" spans="1:4" ht="18" customHeight="1">
      <c r="A63" s="40" t="s">
        <v>178</v>
      </c>
      <c r="B63" s="40" t="s">
        <v>246</v>
      </c>
      <c r="C63" s="40" t="s">
        <v>395</v>
      </c>
      <c r="D63" s="19">
        <v>25000</v>
      </c>
    </row>
    <row r="64" spans="1:4" ht="18" customHeight="1">
      <c r="A64" s="40" t="s">
        <v>178</v>
      </c>
      <c r="B64" s="40" t="s">
        <v>247</v>
      </c>
      <c r="C64" s="40" t="s">
        <v>397</v>
      </c>
      <c r="D64" s="27">
        <v>89000</v>
      </c>
    </row>
    <row r="65" spans="1:5" ht="18" customHeight="1">
      <c r="A65" s="40" t="s">
        <v>178</v>
      </c>
      <c r="B65" s="40" t="s">
        <v>248</v>
      </c>
      <c r="C65" s="40" t="s">
        <v>380</v>
      </c>
      <c r="D65" s="27">
        <v>83000</v>
      </c>
    </row>
    <row r="66" spans="1:5" ht="18" customHeight="1">
      <c r="A66" s="40" t="s">
        <v>178</v>
      </c>
      <c r="B66" s="40" t="s">
        <v>249</v>
      </c>
      <c r="C66" s="40"/>
      <c r="D66" s="19">
        <v>999</v>
      </c>
    </row>
    <row r="67" spans="1:5" ht="18" customHeight="1">
      <c r="A67" s="40" t="s">
        <v>178</v>
      </c>
      <c r="B67" s="40" t="s">
        <v>250</v>
      </c>
      <c r="C67" s="40" t="s">
        <v>398</v>
      </c>
      <c r="D67" s="27">
        <v>25500</v>
      </c>
    </row>
    <row r="68" spans="1:5" ht="18" customHeight="1">
      <c r="A68" s="40" t="s">
        <v>178</v>
      </c>
      <c r="B68" s="40" t="s">
        <v>251</v>
      </c>
      <c r="C68" s="40" t="s">
        <v>396</v>
      </c>
      <c r="D68" s="27">
        <v>39000</v>
      </c>
      <c r="E68" s="27"/>
    </row>
    <row r="69" spans="1:5" ht="18" customHeight="1">
      <c r="A69" s="40" t="s">
        <v>178</v>
      </c>
      <c r="B69" s="40" t="s">
        <v>252</v>
      </c>
      <c r="C69" s="40" t="s">
        <v>367</v>
      </c>
      <c r="D69" s="27">
        <v>40900</v>
      </c>
      <c r="E69" s="27"/>
    </row>
    <row r="70" spans="1:5" ht="18" customHeight="1">
      <c r="A70" s="40" t="s">
        <v>179</v>
      </c>
      <c r="B70" s="40" t="s">
        <v>16</v>
      </c>
      <c r="C70" s="40"/>
      <c r="D70" s="27">
        <v>9900</v>
      </c>
    </row>
    <row r="71" spans="1:5" ht="18" customHeight="1">
      <c r="A71" s="40" t="s">
        <v>179</v>
      </c>
      <c r="B71" s="40" t="s">
        <v>16</v>
      </c>
      <c r="C71" s="40"/>
      <c r="D71" s="27">
        <v>7900</v>
      </c>
    </row>
    <row r="72" spans="1:5" ht="18" customHeight="1">
      <c r="A72" s="40" t="s">
        <v>179</v>
      </c>
      <c r="B72" s="40" t="s">
        <v>16</v>
      </c>
      <c r="C72" s="40"/>
      <c r="D72" s="27">
        <v>25500</v>
      </c>
      <c r="E72" s="27"/>
    </row>
    <row r="73" spans="1:5" ht="18" customHeight="1">
      <c r="A73" s="40" t="s">
        <v>179</v>
      </c>
      <c r="B73" s="40" t="s">
        <v>16</v>
      </c>
      <c r="C73" s="40"/>
      <c r="D73" s="27">
        <v>40900</v>
      </c>
    </row>
    <row r="74" spans="1:5" ht="18" customHeight="1">
      <c r="A74" s="40" t="s">
        <v>179</v>
      </c>
      <c r="B74" s="40" t="s">
        <v>16</v>
      </c>
      <c r="C74" s="40"/>
      <c r="D74" s="27">
        <v>9900</v>
      </c>
    </row>
    <row r="75" spans="1:5" ht="18" customHeight="1">
      <c r="A75" s="40" t="s">
        <v>179</v>
      </c>
      <c r="B75" s="40" t="s">
        <v>16</v>
      </c>
      <c r="C75" s="40"/>
      <c r="D75" s="27">
        <v>6400</v>
      </c>
    </row>
    <row r="76" spans="1:5" ht="18" customHeight="1">
      <c r="A76" s="40" t="s">
        <v>179</v>
      </c>
      <c r="B76" s="40" t="s">
        <v>16</v>
      </c>
      <c r="C76" s="40"/>
      <c r="D76" s="19">
        <v>5000</v>
      </c>
    </row>
    <row r="77" spans="1:5" ht="18" customHeight="1">
      <c r="A77" s="40" t="s">
        <v>179</v>
      </c>
      <c r="B77" s="40" t="s">
        <v>16</v>
      </c>
      <c r="C77" s="40"/>
      <c r="D77" s="19">
        <v>1000</v>
      </c>
    </row>
    <row r="78" spans="1:5" ht="18" customHeight="1">
      <c r="A78" s="40" t="s">
        <v>179</v>
      </c>
      <c r="B78" s="40" t="s">
        <v>16</v>
      </c>
      <c r="C78" s="40"/>
      <c r="D78" s="27">
        <v>38900</v>
      </c>
      <c r="E78" s="27"/>
    </row>
    <row r="79" spans="1:5" ht="18" customHeight="1">
      <c r="A79" s="40" t="s">
        <v>179</v>
      </c>
      <c r="B79" s="40" t="s">
        <v>16</v>
      </c>
      <c r="C79" s="40"/>
      <c r="D79" s="27">
        <v>40800</v>
      </c>
      <c r="E79" s="27"/>
    </row>
    <row r="80" spans="1:5" ht="18" customHeight="1">
      <c r="A80" s="40" t="s">
        <v>179</v>
      </c>
      <c r="B80" s="40" t="s">
        <v>16</v>
      </c>
      <c r="C80" s="40"/>
      <c r="D80" s="27">
        <v>12000</v>
      </c>
    </row>
    <row r="81" spans="1:5" ht="18" customHeight="1">
      <c r="A81" s="40" t="s">
        <v>179</v>
      </c>
      <c r="B81" s="40" t="s">
        <v>16</v>
      </c>
      <c r="C81" s="40"/>
      <c r="D81" s="19">
        <v>999</v>
      </c>
    </row>
    <row r="82" spans="1:5" ht="18" customHeight="1">
      <c r="A82" s="40" t="s">
        <v>179</v>
      </c>
      <c r="B82" s="40" t="s">
        <v>16</v>
      </c>
      <c r="C82" s="40"/>
      <c r="D82" s="19">
        <v>999</v>
      </c>
    </row>
    <row r="83" spans="1:5" ht="18" customHeight="1">
      <c r="A83" s="40" t="s">
        <v>179</v>
      </c>
      <c r="B83" s="40" t="s">
        <v>16</v>
      </c>
      <c r="C83" s="40"/>
      <c r="D83" s="19">
        <v>999</v>
      </c>
    </row>
    <row r="84" spans="1:5" ht="18" customHeight="1">
      <c r="A84" s="40" t="s">
        <v>179</v>
      </c>
      <c r="B84" s="40" t="s">
        <v>16</v>
      </c>
      <c r="C84" s="40"/>
      <c r="D84" s="19">
        <v>999</v>
      </c>
    </row>
    <row r="85" spans="1:5" ht="18" customHeight="1">
      <c r="A85" s="40" t="s">
        <v>179</v>
      </c>
      <c r="B85" s="40" t="s">
        <v>16</v>
      </c>
      <c r="C85" s="40"/>
      <c r="D85" s="19">
        <v>58500</v>
      </c>
    </row>
    <row r="86" spans="1:5" ht="18" customHeight="1">
      <c r="A86" s="40" t="s">
        <v>179</v>
      </c>
      <c r="B86" s="40" t="s">
        <v>16</v>
      </c>
      <c r="C86" s="40"/>
      <c r="D86" s="19">
        <v>150000</v>
      </c>
    </row>
    <row r="87" spans="1:5" ht="18" customHeight="1">
      <c r="A87" s="40" t="s">
        <v>179</v>
      </c>
      <c r="B87" s="40" t="s">
        <v>16</v>
      </c>
      <c r="C87" s="40"/>
      <c r="D87" s="19">
        <v>15000</v>
      </c>
    </row>
    <row r="88" spans="1:5" ht="18" customHeight="1">
      <c r="A88" s="40" t="s">
        <v>179</v>
      </c>
      <c r="B88" s="40" t="s">
        <v>16</v>
      </c>
      <c r="C88" s="40"/>
      <c r="D88" s="27">
        <v>9500</v>
      </c>
      <c r="E88" s="27"/>
    </row>
    <row r="89" spans="1:5" ht="18" customHeight="1">
      <c r="A89" s="40" t="s">
        <v>179</v>
      </c>
      <c r="B89" s="40" t="s">
        <v>16</v>
      </c>
      <c r="C89" s="40"/>
      <c r="D89" s="27">
        <v>11000</v>
      </c>
      <c r="E89" s="27"/>
    </row>
    <row r="90" spans="1:5" ht="18" customHeight="1">
      <c r="A90" s="40" t="s">
        <v>179</v>
      </c>
      <c r="B90" s="40" t="s">
        <v>16</v>
      </c>
      <c r="C90" s="40"/>
      <c r="D90" s="19">
        <v>999</v>
      </c>
    </row>
    <row r="91" spans="1:5" ht="18" customHeight="1">
      <c r="A91" s="40" t="s">
        <v>179</v>
      </c>
      <c r="B91" s="40" t="s">
        <v>16</v>
      </c>
      <c r="C91" s="40"/>
      <c r="D91" s="27">
        <v>10200</v>
      </c>
      <c r="E91" s="27"/>
    </row>
    <row r="92" spans="1:5" ht="18" customHeight="1">
      <c r="A92" s="40" t="s">
        <v>179</v>
      </c>
      <c r="B92" s="40" t="s">
        <v>16</v>
      </c>
      <c r="C92" s="40"/>
      <c r="D92" s="27">
        <v>11000</v>
      </c>
      <c r="E92" s="27"/>
    </row>
    <row r="93" spans="1:5" ht="18" customHeight="1">
      <c r="A93" s="40" t="s">
        <v>179</v>
      </c>
      <c r="B93" s="40" t="s">
        <v>16</v>
      </c>
      <c r="C93" s="40"/>
      <c r="D93" s="27">
        <v>11000</v>
      </c>
      <c r="E93" s="27"/>
    </row>
    <row r="94" spans="1:5" ht="18" customHeight="1">
      <c r="A94" s="40" t="s">
        <v>179</v>
      </c>
      <c r="B94" s="40" t="s">
        <v>16</v>
      </c>
      <c r="C94" s="40"/>
      <c r="D94" s="19">
        <v>999</v>
      </c>
    </row>
    <row r="95" spans="1:5" ht="18" customHeight="1">
      <c r="A95" s="40" t="s">
        <v>179</v>
      </c>
      <c r="B95" s="40" t="s">
        <v>16</v>
      </c>
      <c r="C95" s="40"/>
      <c r="D95" s="19">
        <v>999</v>
      </c>
    </row>
    <row r="96" spans="1:5" ht="18" customHeight="1">
      <c r="A96" s="40" t="s">
        <v>179</v>
      </c>
      <c r="B96" s="40" t="s">
        <v>253</v>
      </c>
      <c r="C96" s="40" t="s">
        <v>399</v>
      </c>
      <c r="D96" s="19">
        <v>999</v>
      </c>
    </row>
    <row r="97" spans="1:4" ht="18" customHeight="1">
      <c r="A97" s="40" t="s">
        <v>179</v>
      </c>
      <c r="B97" s="40" t="s">
        <v>253</v>
      </c>
      <c r="C97" s="40" t="s">
        <v>400</v>
      </c>
      <c r="D97" s="27">
        <v>44000</v>
      </c>
    </row>
    <row r="98" spans="1:4" ht="18" customHeight="1">
      <c r="A98" s="40" t="s">
        <v>179</v>
      </c>
      <c r="B98" s="40" t="s">
        <v>253</v>
      </c>
      <c r="C98" s="40" t="s">
        <v>401</v>
      </c>
      <c r="D98" s="27">
        <v>20000</v>
      </c>
    </row>
    <row r="99" spans="1:4" ht="18" customHeight="1">
      <c r="A99" s="40" t="s">
        <v>179</v>
      </c>
      <c r="B99" s="40" t="s">
        <v>253</v>
      </c>
      <c r="C99" s="40" t="s">
        <v>402</v>
      </c>
      <c r="D99" s="27">
        <v>74000</v>
      </c>
    </row>
    <row r="100" spans="1:4" ht="18" customHeight="1">
      <c r="A100" s="40" t="s">
        <v>179</v>
      </c>
      <c r="B100" s="40" t="s">
        <v>253</v>
      </c>
      <c r="C100" s="40" t="s">
        <v>403</v>
      </c>
      <c r="D100" s="19">
        <v>999</v>
      </c>
    </row>
    <row r="101" spans="1:4" ht="18" customHeight="1">
      <c r="A101" s="40" t="s">
        <v>179</v>
      </c>
      <c r="B101" s="40" t="s">
        <v>253</v>
      </c>
      <c r="C101" s="40" t="s">
        <v>404</v>
      </c>
      <c r="D101" s="19">
        <v>999</v>
      </c>
    </row>
    <row r="102" spans="1:4" ht="18" customHeight="1">
      <c r="A102" s="40" t="s">
        <v>179</v>
      </c>
      <c r="B102" s="40" t="s">
        <v>253</v>
      </c>
      <c r="C102" s="40" t="s">
        <v>405</v>
      </c>
      <c r="D102" s="19">
        <v>999</v>
      </c>
    </row>
    <row r="103" spans="1:4" ht="18" customHeight="1">
      <c r="A103" s="40" t="s">
        <v>179</v>
      </c>
      <c r="B103" s="40" t="s">
        <v>253</v>
      </c>
      <c r="C103" s="40" t="s">
        <v>406</v>
      </c>
      <c r="D103" s="19">
        <v>999</v>
      </c>
    </row>
    <row r="104" spans="1:4" ht="18" customHeight="1">
      <c r="A104" s="40" t="s">
        <v>179</v>
      </c>
      <c r="B104" s="40" t="s">
        <v>253</v>
      </c>
      <c r="C104" s="40" t="s">
        <v>407</v>
      </c>
      <c r="D104" s="19">
        <v>999</v>
      </c>
    </row>
    <row r="105" spans="1:4" ht="18" customHeight="1">
      <c r="A105" s="40" t="s">
        <v>179</v>
      </c>
      <c r="B105" s="40" t="s">
        <v>253</v>
      </c>
      <c r="C105" s="40" t="s">
        <v>408</v>
      </c>
      <c r="D105" s="19">
        <v>999</v>
      </c>
    </row>
    <row r="106" spans="1:4" ht="18" customHeight="1">
      <c r="A106" s="40" t="s">
        <v>179</v>
      </c>
      <c r="B106" s="40" t="s">
        <v>253</v>
      </c>
      <c r="C106" s="40" t="s">
        <v>384</v>
      </c>
      <c r="D106" s="19">
        <v>999</v>
      </c>
    </row>
    <row r="107" spans="1:4" ht="18" customHeight="1">
      <c r="A107" s="40" t="s">
        <v>179</v>
      </c>
      <c r="B107" s="40" t="s">
        <v>253</v>
      </c>
      <c r="C107" s="40" t="s">
        <v>409</v>
      </c>
      <c r="D107" s="19">
        <v>999</v>
      </c>
    </row>
    <row r="108" spans="1:4" ht="18" customHeight="1">
      <c r="A108" s="40" t="s">
        <v>179</v>
      </c>
      <c r="B108" s="40" t="s">
        <v>253</v>
      </c>
      <c r="C108" s="40" t="s">
        <v>410</v>
      </c>
      <c r="D108" s="19">
        <v>999</v>
      </c>
    </row>
    <row r="109" spans="1:4" ht="18" customHeight="1">
      <c r="A109" s="40" t="s">
        <v>179</v>
      </c>
      <c r="B109" s="40" t="s">
        <v>253</v>
      </c>
      <c r="C109" s="40" t="s">
        <v>411</v>
      </c>
      <c r="D109" s="19">
        <v>10000</v>
      </c>
    </row>
    <row r="110" spans="1:4" ht="18" customHeight="1">
      <c r="A110" s="40" t="s">
        <v>179</v>
      </c>
      <c r="B110" s="40" t="s">
        <v>253</v>
      </c>
      <c r="C110" s="40" t="s">
        <v>412</v>
      </c>
      <c r="D110" s="19">
        <v>6000</v>
      </c>
    </row>
    <row r="111" spans="1:4" ht="18" customHeight="1">
      <c r="A111" s="40" t="s">
        <v>179</v>
      </c>
      <c r="B111" s="40" t="s">
        <v>253</v>
      </c>
      <c r="C111" s="40" t="s">
        <v>413</v>
      </c>
      <c r="D111" s="19">
        <v>3000</v>
      </c>
    </row>
    <row r="112" spans="1:4" ht="18" customHeight="1">
      <c r="A112" s="40" t="s">
        <v>179</v>
      </c>
      <c r="B112" s="40" t="s">
        <v>253</v>
      </c>
      <c r="C112" s="40" t="s">
        <v>414</v>
      </c>
      <c r="D112" s="19">
        <v>3000</v>
      </c>
    </row>
    <row r="113" spans="1:4" ht="18" customHeight="1">
      <c r="A113" s="40" t="s">
        <v>179</v>
      </c>
      <c r="B113" s="40" t="s">
        <v>253</v>
      </c>
      <c r="C113" s="40" t="s">
        <v>415</v>
      </c>
      <c r="D113" s="19">
        <v>3000</v>
      </c>
    </row>
    <row r="114" spans="1:4" ht="18" customHeight="1">
      <c r="A114" s="40" t="s">
        <v>179</v>
      </c>
      <c r="B114" s="40" t="s">
        <v>253</v>
      </c>
      <c r="C114" s="40" t="s">
        <v>416</v>
      </c>
      <c r="D114" s="19">
        <v>8000</v>
      </c>
    </row>
    <row r="115" spans="1:4" ht="18" customHeight="1">
      <c r="A115" s="40" t="s">
        <v>179</v>
      </c>
      <c r="B115" s="40" t="s">
        <v>253</v>
      </c>
      <c r="C115" s="40" t="s">
        <v>417</v>
      </c>
      <c r="D115" s="19">
        <v>1400</v>
      </c>
    </row>
    <row r="116" spans="1:4" ht="18" customHeight="1">
      <c r="A116" s="40" t="s">
        <v>179</v>
      </c>
      <c r="B116" s="40" t="s">
        <v>253</v>
      </c>
      <c r="C116" s="40" t="s">
        <v>418</v>
      </c>
      <c r="D116" s="19">
        <v>999</v>
      </c>
    </row>
    <row r="117" spans="1:4" ht="18" customHeight="1">
      <c r="A117" s="40" t="s">
        <v>179</v>
      </c>
      <c r="B117" s="40" t="s">
        <v>253</v>
      </c>
      <c r="C117" s="40" t="s">
        <v>419</v>
      </c>
      <c r="D117" s="19">
        <v>999</v>
      </c>
    </row>
    <row r="118" spans="1:4" ht="18" customHeight="1">
      <c r="A118" s="40" t="s">
        <v>179</v>
      </c>
      <c r="B118" s="40" t="s">
        <v>253</v>
      </c>
      <c r="C118" s="40" t="s">
        <v>420</v>
      </c>
      <c r="D118" s="19">
        <v>1000</v>
      </c>
    </row>
    <row r="119" spans="1:4" ht="18" customHeight="1">
      <c r="A119" s="40" t="s">
        <v>179</v>
      </c>
      <c r="B119" s="40" t="s">
        <v>253</v>
      </c>
      <c r="C119" s="40" t="s">
        <v>421</v>
      </c>
      <c r="D119" s="19">
        <v>2500</v>
      </c>
    </row>
    <row r="120" spans="1:4" ht="18" customHeight="1">
      <c r="A120" s="40" t="s">
        <v>179</v>
      </c>
      <c r="B120" s="40" t="s">
        <v>253</v>
      </c>
      <c r="C120" s="40" t="s">
        <v>422</v>
      </c>
      <c r="D120" s="19">
        <v>2000</v>
      </c>
    </row>
    <row r="121" spans="1:4" ht="18" customHeight="1">
      <c r="A121" s="40" t="s">
        <v>179</v>
      </c>
      <c r="B121" s="40" t="s">
        <v>253</v>
      </c>
      <c r="C121" s="40" t="s">
        <v>423</v>
      </c>
      <c r="D121" s="19">
        <v>3000</v>
      </c>
    </row>
    <row r="122" spans="1:4" ht="18" customHeight="1">
      <c r="A122" s="40" t="s">
        <v>179</v>
      </c>
      <c r="B122" s="40" t="s">
        <v>253</v>
      </c>
      <c r="C122" s="40" t="s">
        <v>424</v>
      </c>
      <c r="D122" s="19">
        <v>2000</v>
      </c>
    </row>
    <row r="123" spans="1:4" ht="18" customHeight="1">
      <c r="A123" s="40" t="s">
        <v>179</v>
      </c>
      <c r="B123" s="40" t="s">
        <v>253</v>
      </c>
      <c r="C123" s="40" t="s">
        <v>425</v>
      </c>
      <c r="D123" s="19">
        <v>3000</v>
      </c>
    </row>
    <row r="124" spans="1:4" ht="18" customHeight="1">
      <c r="A124" s="40" t="s">
        <v>179</v>
      </c>
      <c r="B124" s="40" t="s">
        <v>254</v>
      </c>
      <c r="C124" s="40"/>
      <c r="D124" s="19">
        <v>999</v>
      </c>
    </row>
    <row r="125" spans="1:4" ht="18" customHeight="1">
      <c r="A125" s="40" t="s">
        <v>179</v>
      </c>
      <c r="B125" s="40" t="s">
        <v>254</v>
      </c>
      <c r="C125" s="40"/>
      <c r="D125" s="19">
        <v>8000</v>
      </c>
    </row>
    <row r="126" spans="1:4" ht="18" customHeight="1">
      <c r="A126" s="40" t="s">
        <v>179</v>
      </c>
      <c r="B126" s="40" t="s">
        <v>254</v>
      </c>
      <c r="C126" s="40"/>
      <c r="D126" s="19">
        <v>1500</v>
      </c>
    </row>
    <row r="127" spans="1:4" ht="18" customHeight="1">
      <c r="A127" s="40" t="s">
        <v>179</v>
      </c>
      <c r="B127" s="40" t="s">
        <v>254</v>
      </c>
      <c r="C127" s="40"/>
      <c r="D127" s="19">
        <v>2000</v>
      </c>
    </row>
    <row r="128" spans="1:4" ht="18" customHeight="1">
      <c r="A128" s="40" t="s">
        <v>179</v>
      </c>
      <c r="B128" s="40" t="s">
        <v>254</v>
      </c>
      <c r="C128" s="40"/>
      <c r="D128" s="19">
        <v>3150</v>
      </c>
    </row>
    <row r="129" spans="1:4" ht="18" customHeight="1">
      <c r="A129" s="40" t="s">
        <v>179</v>
      </c>
      <c r="B129" s="40" t="s">
        <v>254</v>
      </c>
      <c r="C129" s="40"/>
      <c r="D129" s="19">
        <v>500</v>
      </c>
    </row>
    <row r="130" spans="1:4" ht="18" customHeight="1">
      <c r="A130" s="40" t="s">
        <v>179</v>
      </c>
      <c r="B130" s="40" t="s">
        <v>254</v>
      </c>
      <c r="C130" s="40"/>
      <c r="D130" s="19">
        <v>1000</v>
      </c>
    </row>
    <row r="131" spans="1:4" ht="18" customHeight="1">
      <c r="A131" s="40" t="s">
        <v>179</v>
      </c>
      <c r="B131" s="40" t="s">
        <v>254</v>
      </c>
      <c r="C131" s="40"/>
      <c r="D131" s="19">
        <v>4000</v>
      </c>
    </row>
    <row r="132" spans="1:4" ht="18" customHeight="1">
      <c r="A132" s="40" t="s">
        <v>179</v>
      </c>
      <c r="B132" s="40" t="s">
        <v>254</v>
      </c>
      <c r="C132" s="40"/>
      <c r="D132" s="19">
        <v>999</v>
      </c>
    </row>
    <row r="133" spans="1:4" ht="18" customHeight="1">
      <c r="A133" s="40" t="s">
        <v>179</v>
      </c>
      <c r="B133" s="40" t="s">
        <v>254</v>
      </c>
      <c r="C133" s="40"/>
      <c r="D133" s="19">
        <v>999</v>
      </c>
    </row>
    <row r="134" spans="1:4" ht="18" customHeight="1">
      <c r="A134" s="40" t="s">
        <v>179</v>
      </c>
      <c r="B134" s="40" t="s">
        <v>254</v>
      </c>
      <c r="C134" s="40"/>
      <c r="D134" s="19">
        <v>999</v>
      </c>
    </row>
    <row r="135" spans="1:4" ht="18" customHeight="1">
      <c r="A135" s="40" t="s">
        <v>179</v>
      </c>
      <c r="B135" s="40" t="s">
        <v>254</v>
      </c>
      <c r="C135" s="40"/>
      <c r="D135" s="27">
        <v>3950</v>
      </c>
    </row>
    <row r="136" spans="1:4" ht="18" customHeight="1">
      <c r="A136" s="40" t="s">
        <v>179</v>
      </c>
      <c r="B136" s="40" t="s">
        <v>254</v>
      </c>
      <c r="C136" s="40"/>
      <c r="D136" s="27">
        <v>4600</v>
      </c>
    </row>
    <row r="137" spans="1:4" ht="18" customHeight="1">
      <c r="A137" s="40" t="s">
        <v>179</v>
      </c>
      <c r="B137" s="40" t="s">
        <v>254</v>
      </c>
      <c r="C137" s="40"/>
      <c r="D137" s="19">
        <v>35000</v>
      </c>
    </row>
    <row r="138" spans="1:4" ht="18" customHeight="1">
      <c r="A138" s="40" t="s">
        <v>179</v>
      </c>
      <c r="B138" s="40" t="s">
        <v>254</v>
      </c>
      <c r="C138" s="40"/>
      <c r="D138" s="19">
        <v>15000</v>
      </c>
    </row>
    <row r="139" spans="1:4" ht="18" customHeight="1">
      <c r="A139" s="40" t="s">
        <v>179</v>
      </c>
      <c r="B139" s="40" t="s">
        <v>254</v>
      </c>
      <c r="C139" s="40"/>
      <c r="D139" s="19">
        <v>999</v>
      </c>
    </row>
    <row r="140" spans="1:4" ht="18" customHeight="1">
      <c r="A140" s="40" t="s">
        <v>179</v>
      </c>
      <c r="B140" s="40" t="s">
        <v>254</v>
      </c>
      <c r="C140" s="40"/>
      <c r="D140" s="19">
        <v>6000</v>
      </c>
    </row>
    <row r="141" spans="1:4" ht="18" customHeight="1">
      <c r="A141" s="40" t="s">
        <v>179</v>
      </c>
      <c r="B141" s="40" t="s">
        <v>254</v>
      </c>
      <c r="C141" s="40"/>
      <c r="D141" s="19">
        <v>999</v>
      </c>
    </row>
    <row r="142" spans="1:4" ht="18" customHeight="1">
      <c r="A142" s="40" t="s">
        <v>179</v>
      </c>
      <c r="B142" s="40" t="s">
        <v>254</v>
      </c>
      <c r="C142" s="40"/>
      <c r="D142" s="19">
        <v>999</v>
      </c>
    </row>
    <row r="143" spans="1:4" ht="18" customHeight="1">
      <c r="A143" s="40" t="s">
        <v>179</v>
      </c>
      <c r="B143" s="40" t="s">
        <v>254</v>
      </c>
      <c r="C143" s="40"/>
      <c r="D143" s="19">
        <v>999</v>
      </c>
    </row>
    <row r="144" spans="1:4" ht="18" customHeight="1">
      <c r="A144" s="40" t="s">
        <v>179</v>
      </c>
      <c r="B144" s="40" t="s">
        <v>254</v>
      </c>
      <c r="C144" s="40"/>
      <c r="D144" s="19">
        <v>999</v>
      </c>
    </row>
    <row r="145" spans="1:4" ht="18" customHeight="1">
      <c r="A145" s="40" t="s">
        <v>179</v>
      </c>
      <c r="B145" s="40" t="s">
        <v>254</v>
      </c>
      <c r="C145" s="40"/>
      <c r="D145" s="27">
        <v>7250</v>
      </c>
    </row>
    <row r="146" spans="1:4" ht="18" customHeight="1">
      <c r="A146" s="40" t="s">
        <v>179</v>
      </c>
      <c r="B146" s="40" t="s">
        <v>254</v>
      </c>
      <c r="C146" s="40"/>
      <c r="D146" s="27">
        <v>11500</v>
      </c>
    </row>
    <row r="147" spans="1:4" ht="18" customHeight="1">
      <c r="A147" s="40" t="s">
        <v>179</v>
      </c>
      <c r="B147" s="40" t="s">
        <v>254</v>
      </c>
      <c r="C147" s="40"/>
      <c r="D147" s="27">
        <v>5750</v>
      </c>
    </row>
    <row r="148" spans="1:4" ht="18" customHeight="1">
      <c r="A148" s="40" t="s">
        <v>179</v>
      </c>
      <c r="B148" s="40" t="s">
        <v>254</v>
      </c>
      <c r="C148" s="40"/>
      <c r="D148" s="27">
        <v>2380</v>
      </c>
    </row>
    <row r="149" spans="1:4" ht="18" customHeight="1">
      <c r="A149" s="40" t="s">
        <v>179</v>
      </c>
      <c r="B149" s="40" t="s">
        <v>254</v>
      </c>
      <c r="C149" s="40"/>
      <c r="D149" s="27">
        <v>15000</v>
      </c>
    </row>
    <row r="150" spans="1:4" ht="18" customHeight="1">
      <c r="A150" s="40" t="s">
        <v>179</v>
      </c>
      <c r="B150" s="40" t="s">
        <v>254</v>
      </c>
      <c r="C150" s="40"/>
      <c r="D150" s="27">
        <v>570</v>
      </c>
    </row>
    <row r="151" spans="1:4" ht="18" customHeight="1">
      <c r="A151" s="40" t="s">
        <v>179</v>
      </c>
      <c r="B151" s="40" t="s">
        <v>254</v>
      </c>
      <c r="C151" s="40"/>
      <c r="D151" s="27">
        <v>1000</v>
      </c>
    </row>
    <row r="152" spans="1:4" ht="18" customHeight="1">
      <c r="A152" s="40" t="s">
        <v>179</v>
      </c>
      <c r="B152" s="40" t="s">
        <v>254</v>
      </c>
      <c r="C152" s="40"/>
      <c r="D152" s="27">
        <v>800</v>
      </c>
    </row>
    <row r="153" spans="1:4" ht="18" customHeight="1">
      <c r="A153" s="40" t="s">
        <v>179</v>
      </c>
      <c r="B153" s="40" t="s">
        <v>254</v>
      </c>
      <c r="C153" s="40"/>
      <c r="D153" s="27">
        <v>3000</v>
      </c>
    </row>
    <row r="154" spans="1:4" ht="18" customHeight="1">
      <c r="A154" s="40" t="s">
        <v>179</v>
      </c>
      <c r="B154" s="40" t="s">
        <v>254</v>
      </c>
      <c r="C154" s="40"/>
      <c r="D154" s="27">
        <v>5500</v>
      </c>
    </row>
    <row r="155" spans="1:4" ht="18" customHeight="1">
      <c r="A155" s="40" t="s">
        <v>179</v>
      </c>
      <c r="B155" s="40" t="s">
        <v>254</v>
      </c>
      <c r="C155" s="40"/>
      <c r="D155" s="27">
        <v>6000</v>
      </c>
    </row>
    <row r="156" spans="1:4" ht="18" customHeight="1">
      <c r="A156" s="40" t="s">
        <v>179</v>
      </c>
      <c r="B156" s="40" t="s">
        <v>254</v>
      </c>
      <c r="C156" s="40"/>
      <c r="D156" s="27">
        <v>2000</v>
      </c>
    </row>
    <row r="157" spans="1:4" ht="18" customHeight="1">
      <c r="A157" s="40" t="s">
        <v>179</v>
      </c>
      <c r="B157" s="40" t="s">
        <v>254</v>
      </c>
      <c r="C157" s="40"/>
      <c r="D157" s="19">
        <v>30000</v>
      </c>
    </row>
    <row r="158" spans="1:4" ht="18" customHeight="1">
      <c r="A158" s="40" t="s">
        <v>179</v>
      </c>
      <c r="B158" s="40" t="s">
        <v>254</v>
      </c>
      <c r="C158" s="40"/>
      <c r="D158" s="27">
        <f>18000/15</f>
        <v>1200</v>
      </c>
    </row>
    <row r="159" spans="1:4" ht="18" customHeight="1">
      <c r="A159" s="40" t="s">
        <v>179</v>
      </c>
      <c r="B159" s="40" t="s">
        <v>254</v>
      </c>
      <c r="C159" s="40"/>
      <c r="D159" s="27">
        <f>18000/9</f>
        <v>2000</v>
      </c>
    </row>
    <row r="160" spans="1:4" ht="18" customHeight="1">
      <c r="A160" s="40" t="s">
        <v>179</v>
      </c>
      <c r="B160" s="40" t="s">
        <v>254</v>
      </c>
      <c r="C160" s="40"/>
      <c r="D160" s="19">
        <v>6000</v>
      </c>
    </row>
    <row r="161" spans="1:4" ht="18" customHeight="1">
      <c r="A161" s="40" t="s">
        <v>179</v>
      </c>
      <c r="B161" s="40" t="s">
        <v>254</v>
      </c>
      <c r="C161" s="40"/>
      <c r="D161" s="19">
        <v>100000</v>
      </c>
    </row>
    <row r="162" spans="1:4" ht="18" customHeight="1">
      <c r="A162" s="40" t="s">
        <v>179</v>
      </c>
      <c r="B162" s="40" t="s">
        <v>254</v>
      </c>
      <c r="C162" s="40"/>
      <c r="D162" s="27">
        <v>85000</v>
      </c>
    </row>
    <row r="163" spans="1:4" ht="18" customHeight="1">
      <c r="A163" s="40" t="s">
        <v>179</v>
      </c>
      <c r="B163" s="40" t="s">
        <v>254</v>
      </c>
      <c r="C163" s="40"/>
      <c r="D163" s="27">
        <v>75000</v>
      </c>
    </row>
    <row r="164" spans="1:4" ht="18" customHeight="1">
      <c r="A164" s="40" t="s">
        <v>179</v>
      </c>
      <c r="B164" s="40" t="s">
        <v>254</v>
      </c>
      <c r="C164" s="40"/>
      <c r="D164" s="27">
        <f>15000/37</f>
        <v>405.40540540540542</v>
      </c>
    </row>
    <row r="165" spans="1:4" ht="18" customHeight="1">
      <c r="A165" s="40" t="s">
        <v>179</v>
      </c>
      <c r="B165" s="40" t="s">
        <v>254</v>
      </c>
      <c r="C165" s="40"/>
      <c r="D165" s="27">
        <f>15000/16</f>
        <v>937.5</v>
      </c>
    </row>
    <row r="166" spans="1:4" ht="18" customHeight="1">
      <c r="A166" s="40" t="s">
        <v>179</v>
      </c>
      <c r="B166" s="40" t="s">
        <v>254</v>
      </c>
      <c r="C166" s="40"/>
      <c r="D166" s="27">
        <v>999</v>
      </c>
    </row>
    <row r="167" spans="1:4" ht="18" customHeight="1">
      <c r="A167" s="40" t="s">
        <v>179</v>
      </c>
      <c r="B167" s="40" t="s">
        <v>254</v>
      </c>
      <c r="C167" s="40"/>
      <c r="D167" s="27">
        <v>999</v>
      </c>
    </row>
    <row r="168" spans="1:4" ht="18" customHeight="1">
      <c r="A168" s="40" t="s">
        <v>179</v>
      </c>
      <c r="B168" s="40" t="s">
        <v>254</v>
      </c>
      <c r="C168" s="40"/>
      <c r="D168" s="27">
        <v>999</v>
      </c>
    </row>
    <row r="169" spans="1:4" ht="18" customHeight="1">
      <c r="A169" s="40" t="s">
        <v>179</v>
      </c>
      <c r="B169" s="40" t="s">
        <v>254</v>
      </c>
      <c r="C169" s="40"/>
      <c r="D169" s="19">
        <v>999</v>
      </c>
    </row>
    <row r="170" spans="1:4" ht="18" customHeight="1">
      <c r="A170" s="40" t="s">
        <v>179</v>
      </c>
      <c r="B170" s="40" t="s">
        <v>254</v>
      </c>
      <c r="C170" s="40"/>
      <c r="D170" s="19">
        <v>12000</v>
      </c>
    </row>
    <row r="171" spans="1:4" ht="18" customHeight="1">
      <c r="A171" s="40" t="s">
        <v>179</v>
      </c>
      <c r="B171" s="40" t="s">
        <v>254</v>
      </c>
      <c r="C171" s="40"/>
      <c r="D171" s="19">
        <v>4500</v>
      </c>
    </row>
    <row r="172" spans="1:4" ht="18" customHeight="1">
      <c r="A172" s="40" t="s">
        <v>179</v>
      </c>
      <c r="B172" s="40" t="s">
        <v>254</v>
      </c>
      <c r="C172" s="40"/>
      <c r="D172" s="19">
        <v>1500</v>
      </c>
    </row>
    <row r="173" spans="1:4" ht="18" customHeight="1">
      <c r="A173" s="40" t="s">
        <v>179</v>
      </c>
      <c r="B173" s="40" t="s">
        <v>254</v>
      </c>
      <c r="C173" s="40"/>
      <c r="D173" s="19">
        <v>37500</v>
      </c>
    </row>
    <row r="174" spans="1:4" ht="18" customHeight="1">
      <c r="A174" s="40" t="s">
        <v>179</v>
      </c>
      <c r="B174" s="40" t="s">
        <v>254</v>
      </c>
      <c r="C174" s="40"/>
      <c r="D174" s="19">
        <v>41500</v>
      </c>
    </row>
    <row r="175" spans="1:4" ht="18" customHeight="1">
      <c r="A175" s="40" t="s">
        <v>179</v>
      </c>
      <c r="B175" s="40" t="s">
        <v>254</v>
      </c>
      <c r="C175" s="40"/>
      <c r="D175" s="19">
        <v>45500</v>
      </c>
    </row>
    <row r="176" spans="1:4" ht="18" customHeight="1">
      <c r="A176" s="40" t="s">
        <v>179</v>
      </c>
      <c r="B176" s="40" t="s">
        <v>254</v>
      </c>
      <c r="C176" s="40"/>
      <c r="D176" s="19">
        <v>49500</v>
      </c>
    </row>
    <row r="177" spans="1:5" ht="18" customHeight="1">
      <c r="A177" s="40" t="s">
        <v>179</v>
      </c>
      <c r="B177" s="40" t="s">
        <v>254</v>
      </c>
      <c r="C177" s="40"/>
      <c r="D177" s="19">
        <v>55500</v>
      </c>
    </row>
    <row r="178" spans="1:5" ht="18" customHeight="1">
      <c r="A178" s="40" t="s">
        <v>179</v>
      </c>
      <c r="B178" s="40" t="s">
        <v>254</v>
      </c>
      <c r="C178" s="40"/>
      <c r="D178" s="19">
        <v>58500</v>
      </c>
    </row>
    <row r="179" spans="1:5" ht="18" customHeight="1">
      <c r="A179" s="40" t="s">
        <v>179</v>
      </c>
      <c r="B179" s="40" t="s">
        <v>254</v>
      </c>
      <c r="C179" s="40"/>
      <c r="D179" s="19">
        <v>61500</v>
      </c>
    </row>
    <row r="180" spans="1:5" ht="18" customHeight="1">
      <c r="A180" s="40" t="s">
        <v>179</v>
      </c>
      <c r="B180" s="40" t="s">
        <v>254</v>
      </c>
      <c r="C180" s="40"/>
      <c r="D180" s="19">
        <v>66500</v>
      </c>
    </row>
    <row r="181" spans="1:5" ht="18" customHeight="1">
      <c r="A181" s="40" t="s">
        <v>179</v>
      </c>
      <c r="B181" s="40" t="s">
        <v>254</v>
      </c>
      <c r="C181" s="40"/>
      <c r="D181" s="19">
        <v>3000</v>
      </c>
    </row>
    <row r="182" spans="1:5" ht="18" customHeight="1">
      <c r="A182" s="40" t="s">
        <v>179</v>
      </c>
      <c r="B182" s="40" t="s">
        <v>254</v>
      </c>
      <c r="C182" s="40"/>
      <c r="D182" s="19">
        <v>500</v>
      </c>
    </row>
    <row r="183" spans="1:5" ht="18" customHeight="1">
      <c r="A183" s="40" t="s">
        <v>179</v>
      </c>
      <c r="B183" s="40" t="s">
        <v>254</v>
      </c>
      <c r="C183" s="40"/>
      <c r="D183" s="19">
        <v>49500</v>
      </c>
    </row>
    <row r="184" spans="1:5" ht="18" customHeight="1">
      <c r="A184" s="40" t="s">
        <v>179</v>
      </c>
      <c r="B184" s="40" t="s">
        <v>254</v>
      </c>
      <c r="C184" s="40"/>
      <c r="D184" s="19">
        <v>65000</v>
      </c>
    </row>
    <row r="185" spans="1:5" ht="18" customHeight="1">
      <c r="A185" s="40" t="s">
        <v>179</v>
      </c>
      <c r="B185" s="40" t="s">
        <v>254</v>
      </c>
      <c r="C185" s="40"/>
      <c r="D185" s="19">
        <v>65000</v>
      </c>
    </row>
    <row r="186" spans="1:5" ht="18" customHeight="1">
      <c r="A186" s="40" t="s">
        <v>179</v>
      </c>
      <c r="B186" s="40" t="s">
        <v>254</v>
      </c>
      <c r="C186" s="40"/>
      <c r="D186" s="19">
        <v>49500</v>
      </c>
    </row>
    <row r="187" spans="1:5" ht="18" customHeight="1">
      <c r="A187" s="40" t="s">
        <v>179</v>
      </c>
      <c r="B187" s="40" t="s">
        <v>254</v>
      </c>
      <c r="C187" s="40"/>
      <c r="D187" s="19">
        <v>25000</v>
      </c>
    </row>
    <row r="188" spans="1:5" ht="18" customHeight="1">
      <c r="A188" s="40" t="s">
        <v>179</v>
      </c>
      <c r="B188" s="40" t="s">
        <v>254</v>
      </c>
      <c r="C188" s="40"/>
      <c r="D188" s="27">
        <v>89000</v>
      </c>
    </row>
    <row r="189" spans="1:5" ht="18" customHeight="1">
      <c r="A189" s="40" t="s">
        <v>179</v>
      </c>
      <c r="B189" s="40" t="s">
        <v>254</v>
      </c>
      <c r="C189" s="40"/>
      <c r="D189" s="27">
        <v>83000</v>
      </c>
    </row>
    <row r="190" spans="1:5" ht="18" customHeight="1">
      <c r="A190" s="40" t="s">
        <v>179</v>
      </c>
      <c r="B190" s="40" t="s">
        <v>254</v>
      </c>
      <c r="C190" s="40"/>
      <c r="D190" s="19">
        <v>999</v>
      </c>
    </row>
    <row r="191" spans="1:5" ht="18" customHeight="1">
      <c r="A191" s="40" t="s">
        <v>179</v>
      </c>
      <c r="B191" s="40" t="s">
        <v>254</v>
      </c>
      <c r="C191" s="40"/>
      <c r="D191" s="27">
        <v>25500</v>
      </c>
    </row>
    <row r="192" spans="1:5" ht="18" customHeight="1">
      <c r="A192" s="40" t="s">
        <v>179</v>
      </c>
      <c r="B192" s="40" t="s">
        <v>254</v>
      </c>
      <c r="C192" s="40"/>
      <c r="D192" s="27">
        <v>39000</v>
      </c>
      <c r="E192" s="27"/>
    </row>
    <row r="193" spans="1:5" ht="18" customHeight="1">
      <c r="A193" s="40" t="s">
        <v>179</v>
      </c>
      <c r="B193" s="40" t="s">
        <v>254</v>
      </c>
      <c r="C193" s="40"/>
      <c r="D193" s="27">
        <v>40900</v>
      </c>
      <c r="E193" s="27"/>
    </row>
    <row r="194" spans="1:5" ht="18" customHeight="1">
      <c r="A194" s="40" t="s">
        <v>179</v>
      </c>
      <c r="B194" s="40" t="s">
        <v>254</v>
      </c>
      <c r="C194" s="40"/>
      <c r="D194" s="27">
        <v>9900</v>
      </c>
    </row>
    <row r="195" spans="1:5" ht="18" customHeight="1">
      <c r="A195" s="40" t="s">
        <v>179</v>
      </c>
      <c r="B195" s="40" t="s">
        <v>254</v>
      </c>
      <c r="C195" s="40"/>
      <c r="D195" s="27">
        <v>7900</v>
      </c>
    </row>
    <row r="196" spans="1:5" ht="18" customHeight="1">
      <c r="A196" s="40" t="s">
        <v>179</v>
      </c>
      <c r="B196" s="40" t="s">
        <v>254</v>
      </c>
      <c r="C196" s="40"/>
      <c r="D196" s="27">
        <v>25500</v>
      </c>
      <c r="E196" s="27"/>
    </row>
    <row r="197" spans="1:5" ht="18" customHeight="1">
      <c r="A197" s="40" t="s">
        <v>179</v>
      </c>
      <c r="B197" s="40" t="s">
        <v>254</v>
      </c>
      <c r="C197" s="40"/>
      <c r="D197" s="27">
        <v>40900</v>
      </c>
    </row>
    <row r="198" spans="1:5" ht="18" customHeight="1">
      <c r="A198" s="40" t="s">
        <v>179</v>
      </c>
      <c r="B198" s="40" t="s">
        <v>254</v>
      </c>
      <c r="C198" s="40"/>
      <c r="D198" s="27">
        <v>9900</v>
      </c>
    </row>
    <row r="199" spans="1:5" ht="18" customHeight="1">
      <c r="A199" s="40" t="s">
        <v>179</v>
      </c>
      <c r="B199" s="40" t="s">
        <v>254</v>
      </c>
      <c r="C199" s="40"/>
      <c r="D199" s="27">
        <v>6400</v>
      </c>
    </row>
    <row r="200" spans="1:5" ht="18" customHeight="1">
      <c r="A200" s="40" t="s">
        <v>179</v>
      </c>
      <c r="B200" s="40" t="s">
        <v>254</v>
      </c>
      <c r="C200" s="40"/>
      <c r="D200" s="19">
        <v>5000</v>
      </c>
    </row>
    <row r="201" spans="1:5" ht="18" customHeight="1">
      <c r="A201" s="40" t="s">
        <v>179</v>
      </c>
      <c r="B201" s="40" t="s">
        <v>254</v>
      </c>
      <c r="C201" s="40"/>
      <c r="D201" s="19">
        <v>1000</v>
      </c>
    </row>
    <row r="202" spans="1:5" ht="18" customHeight="1">
      <c r="A202" s="40" t="s">
        <v>179</v>
      </c>
      <c r="B202" s="40" t="s">
        <v>254</v>
      </c>
      <c r="C202" s="40"/>
      <c r="D202" s="27">
        <v>38900</v>
      </c>
      <c r="E202" s="27"/>
    </row>
    <row r="203" spans="1:5" ht="18" customHeight="1">
      <c r="A203" s="40" t="s">
        <v>179</v>
      </c>
      <c r="B203" s="40" t="s">
        <v>254</v>
      </c>
      <c r="C203" s="40"/>
      <c r="D203" s="27">
        <v>40800</v>
      </c>
      <c r="E203" s="27"/>
    </row>
    <row r="204" spans="1:5" ht="18" customHeight="1">
      <c r="A204" s="40" t="s">
        <v>179</v>
      </c>
      <c r="B204" s="40" t="s">
        <v>254</v>
      </c>
      <c r="C204" s="40"/>
      <c r="D204" s="27">
        <v>12000</v>
      </c>
    </row>
    <row r="205" spans="1:5" ht="18" customHeight="1">
      <c r="A205" s="40" t="s">
        <v>179</v>
      </c>
      <c r="B205" s="40" t="s">
        <v>254</v>
      </c>
      <c r="C205" s="40"/>
      <c r="D205" s="19">
        <v>999</v>
      </c>
    </row>
    <row r="206" spans="1:5" ht="18" customHeight="1">
      <c r="A206" s="40" t="s">
        <v>179</v>
      </c>
      <c r="B206" s="40" t="s">
        <v>254</v>
      </c>
      <c r="C206" s="40"/>
      <c r="D206" s="19">
        <v>999</v>
      </c>
    </row>
    <row r="207" spans="1:5" ht="18" customHeight="1">
      <c r="A207" s="40" t="s">
        <v>179</v>
      </c>
      <c r="B207" s="40" t="s">
        <v>254</v>
      </c>
      <c r="C207" s="40"/>
      <c r="D207" s="19">
        <v>999</v>
      </c>
    </row>
    <row r="208" spans="1:5" ht="18" customHeight="1">
      <c r="A208" s="40" t="s">
        <v>179</v>
      </c>
      <c r="B208" s="40" t="s">
        <v>254</v>
      </c>
      <c r="C208" s="40"/>
      <c r="D208" s="19">
        <v>999</v>
      </c>
    </row>
    <row r="209" spans="1:5" ht="18" customHeight="1">
      <c r="A209" s="40" t="s">
        <v>179</v>
      </c>
      <c r="B209" s="40" t="s">
        <v>254</v>
      </c>
      <c r="C209" s="40"/>
      <c r="D209" s="19">
        <v>58500</v>
      </c>
    </row>
    <row r="210" spans="1:5" ht="18" customHeight="1">
      <c r="A210" s="40" t="s">
        <v>179</v>
      </c>
      <c r="B210" s="40" t="s">
        <v>254</v>
      </c>
      <c r="C210" s="40"/>
      <c r="D210" s="19">
        <v>150000</v>
      </c>
    </row>
    <row r="211" spans="1:5" ht="18" customHeight="1">
      <c r="A211" s="40" t="s">
        <v>179</v>
      </c>
      <c r="B211" s="40" t="s">
        <v>254</v>
      </c>
      <c r="C211" s="40"/>
      <c r="D211" s="19">
        <v>15000</v>
      </c>
    </row>
    <row r="212" spans="1:5" ht="18" customHeight="1">
      <c r="A212" s="40" t="s">
        <v>179</v>
      </c>
      <c r="B212" s="40" t="s">
        <v>254</v>
      </c>
      <c r="C212" s="40"/>
      <c r="D212" s="27">
        <v>9500</v>
      </c>
      <c r="E212" s="27"/>
    </row>
    <row r="213" spans="1:5" ht="18" customHeight="1">
      <c r="A213" s="40" t="s">
        <v>179</v>
      </c>
      <c r="B213" s="40" t="s">
        <v>254</v>
      </c>
      <c r="C213" s="40"/>
      <c r="D213" s="27">
        <v>11000</v>
      </c>
      <c r="E213" s="27"/>
    </row>
    <row r="214" spans="1:5" ht="18" customHeight="1">
      <c r="A214" s="40" t="s">
        <v>179</v>
      </c>
      <c r="B214" s="40" t="s">
        <v>254</v>
      </c>
      <c r="C214" s="40"/>
      <c r="D214" s="19">
        <v>999</v>
      </c>
    </row>
    <row r="215" spans="1:5" ht="18" customHeight="1">
      <c r="A215" s="40" t="s">
        <v>179</v>
      </c>
      <c r="B215" s="40" t="s">
        <v>254</v>
      </c>
      <c r="C215" s="40"/>
      <c r="D215" s="27">
        <v>10200</v>
      </c>
      <c r="E215" s="27"/>
    </row>
    <row r="216" spans="1:5" ht="18" customHeight="1">
      <c r="A216" s="40" t="s">
        <v>179</v>
      </c>
      <c r="B216" s="40" t="s">
        <v>254</v>
      </c>
      <c r="C216" s="40"/>
      <c r="D216" s="27">
        <v>11000</v>
      </c>
      <c r="E216" s="27"/>
    </row>
    <row r="217" spans="1:5" ht="18" customHeight="1">
      <c r="A217" s="40" t="s">
        <v>179</v>
      </c>
      <c r="B217" s="40" t="s">
        <v>254</v>
      </c>
      <c r="C217" s="40"/>
      <c r="D217" s="27">
        <v>11000</v>
      </c>
      <c r="E217" s="27"/>
    </row>
    <row r="218" spans="1:5" ht="18" customHeight="1">
      <c r="A218" s="40" t="s">
        <v>179</v>
      </c>
      <c r="B218" s="40" t="s">
        <v>254</v>
      </c>
      <c r="C218" s="40"/>
      <c r="D218" s="19">
        <v>999</v>
      </c>
    </row>
    <row r="219" spans="1:5" ht="18" customHeight="1">
      <c r="A219" s="40" t="s">
        <v>179</v>
      </c>
      <c r="B219" s="40" t="s">
        <v>254</v>
      </c>
      <c r="C219" s="40"/>
      <c r="D219" s="19">
        <v>999</v>
      </c>
    </row>
    <row r="220" spans="1:5" ht="18" customHeight="1">
      <c r="A220" s="40" t="s">
        <v>179</v>
      </c>
      <c r="B220" s="40" t="s">
        <v>254</v>
      </c>
      <c r="C220" s="40"/>
      <c r="D220" s="19">
        <v>999</v>
      </c>
    </row>
    <row r="221" spans="1:5" ht="18" customHeight="1">
      <c r="A221" s="40" t="s">
        <v>179</v>
      </c>
      <c r="B221" s="40" t="s">
        <v>254</v>
      </c>
      <c r="C221" s="40"/>
      <c r="D221" s="27">
        <v>44000</v>
      </c>
    </row>
    <row r="222" spans="1:5" ht="18" customHeight="1">
      <c r="A222" s="40" t="s">
        <v>179</v>
      </c>
      <c r="B222" s="40" t="s">
        <v>254</v>
      </c>
      <c r="C222" s="40"/>
      <c r="D222" s="27">
        <v>20000</v>
      </c>
    </row>
    <row r="223" spans="1:5" ht="18" customHeight="1">
      <c r="A223" s="40" t="s">
        <v>179</v>
      </c>
      <c r="B223" s="40" t="s">
        <v>254</v>
      </c>
      <c r="C223" s="40"/>
      <c r="D223" s="27">
        <v>74000</v>
      </c>
    </row>
    <row r="224" spans="1:5" ht="18" customHeight="1">
      <c r="A224" s="40" t="s">
        <v>179</v>
      </c>
      <c r="B224" s="40" t="s">
        <v>254</v>
      </c>
      <c r="C224" s="40"/>
      <c r="D224" s="19">
        <v>999</v>
      </c>
    </row>
    <row r="225" spans="1:4" ht="18" customHeight="1">
      <c r="A225" s="40" t="s">
        <v>179</v>
      </c>
      <c r="B225" s="40" t="s">
        <v>254</v>
      </c>
      <c r="C225" s="40"/>
      <c r="D225" s="19">
        <v>999</v>
      </c>
    </row>
    <row r="226" spans="1:4" ht="18" customHeight="1">
      <c r="A226" s="40" t="s">
        <v>179</v>
      </c>
      <c r="B226" s="40" t="s">
        <v>254</v>
      </c>
      <c r="C226" s="40"/>
      <c r="D226" s="19">
        <v>999</v>
      </c>
    </row>
    <row r="227" spans="1:4" ht="18" customHeight="1">
      <c r="A227" s="40" t="s">
        <v>179</v>
      </c>
      <c r="B227" s="40" t="s">
        <v>254</v>
      </c>
      <c r="C227" s="40"/>
      <c r="D227" s="19">
        <v>999</v>
      </c>
    </row>
    <row r="228" spans="1:4" ht="18" customHeight="1">
      <c r="A228" s="40" t="s">
        <v>179</v>
      </c>
      <c r="B228" s="40" t="s">
        <v>254</v>
      </c>
      <c r="C228" s="40"/>
      <c r="D228" s="19">
        <v>999</v>
      </c>
    </row>
    <row r="229" spans="1:4" ht="18" customHeight="1">
      <c r="A229" s="40" t="s">
        <v>179</v>
      </c>
      <c r="B229" s="40" t="s">
        <v>254</v>
      </c>
      <c r="C229" s="40"/>
      <c r="D229" s="19">
        <v>999</v>
      </c>
    </row>
    <row r="230" spans="1:4" ht="18" customHeight="1">
      <c r="A230" s="40" t="s">
        <v>179</v>
      </c>
      <c r="B230" s="40" t="s">
        <v>254</v>
      </c>
      <c r="C230" s="40"/>
      <c r="D230" s="19">
        <v>999</v>
      </c>
    </row>
    <row r="231" spans="1:4" ht="18" customHeight="1">
      <c r="A231" s="40" t="s">
        <v>179</v>
      </c>
      <c r="B231" s="40" t="s">
        <v>254</v>
      </c>
      <c r="C231" s="40"/>
      <c r="D231" s="19">
        <v>999</v>
      </c>
    </row>
    <row r="232" spans="1:4" ht="18" customHeight="1">
      <c r="A232" s="40" t="s">
        <v>179</v>
      </c>
      <c r="B232" s="40" t="s">
        <v>254</v>
      </c>
      <c r="C232" s="40"/>
      <c r="D232" s="19">
        <v>999</v>
      </c>
    </row>
    <row r="233" spans="1:4" ht="18" customHeight="1">
      <c r="A233" s="40" t="s">
        <v>179</v>
      </c>
      <c r="B233" s="40" t="s">
        <v>254</v>
      </c>
      <c r="C233" s="40"/>
      <c r="D233" s="19">
        <v>10000</v>
      </c>
    </row>
    <row r="234" spans="1:4" ht="18" customHeight="1">
      <c r="A234" s="40" t="s">
        <v>179</v>
      </c>
      <c r="B234" s="40" t="s">
        <v>254</v>
      </c>
      <c r="C234" s="40"/>
      <c r="D234" s="19">
        <v>6000</v>
      </c>
    </row>
    <row r="235" spans="1:4" ht="18" customHeight="1">
      <c r="A235" s="40" t="s">
        <v>179</v>
      </c>
      <c r="B235" s="40" t="s">
        <v>254</v>
      </c>
      <c r="C235" s="40"/>
      <c r="D235" s="19">
        <v>3000</v>
      </c>
    </row>
    <row r="236" spans="1:4" ht="18" customHeight="1">
      <c r="A236" s="40" t="s">
        <v>179</v>
      </c>
      <c r="B236" s="40" t="s">
        <v>254</v>
      </c>
      <c r="C236" s="40"/>
      <c r="D236" s="19">
        <v>3000</v>
      </c>
    </row>
    <row r="237" spans="1:4" ht="18" customHeight="1">
      <c r="A237" s="40" t="s">
        <v>179</v>
      </c>
      <c r="B237" s="40" t="s">
        <v>254</v>
      </c>
      <c r="C237" s="40"/>
      <c r="D237" s="19">
        <v>3000</v>
      </c>
    </row>
    <row r="238" spans="1:4" ht="18" customHeight="1">
      <c r="A238" s="40" t="s">
        <v>179</v>
      </c>
      <c r="B238" s="40" t="s">
        <v>254</v>
      </c>
      <c r="C238" s="40"/>
      <c r="D238" s="19">
        <v>8000</v>
      </c>
    </row>
    <row r="239" spans="1:4" ht="18" customHeight="1">
      <c r="A239" s="40" t="s">
        <v>179</v>
      </c>
      <c r="B239" s="40" t="s">
        <v>254</v>
      </c>
      <c r="C239" s="40"/>
      <c r="D239" s="19">
        <v>1400</v>
      </c>
    </row>
    <row r="240" spans="1:4" ht="18" customHeight="1">
      <c r="A240" s="40" t="s">
        <v>179</v>
      </c>
      <c r="B240" s="40" t="s">
        <v>254</v>
      </c>
      <c r="C240" s="40"/>
      <c r="D240" s="19">
        <v>999</v>
      </c>
    </row>
    <row r="241" spans="1:4" ht="18" customHeight="1">
      <c r="A241" s="40" t="s">
        <v>179</v>
      </c>
      <c r="B241" s="40" t="s">
        <v>254</v>
      </c>
      <c r="C241" s="40"/>
      <c r="D241" s="19">
        <v>999</v>
      </c>
    </row>
    <row r="242" spans="1:4" ht="18" customHeight="1">
      <c r="A242" s="40" t="s">
        <v>179</v>
      </c>
      <c r="B242" s="40" t="s">
        <v>254</v>
      </c>
      <c r="C242" s="40"/>
      <c r="D242" s="19">
        <v>1000</v>
      </c>
    </row>
    <row r="243" spans="1:4" ht="18" customHeight="1">
      <c r="A243" s="40" t="s">
        <v>179</v>
      </c>
      <c r="B243" s="40" t="s">
        <v>254</v>
      </c>
      <c r="C243" s="40"/>
      <c r="D243" s="19">
        <v>2500</v>
      </c>
    </row>
    <row r="244" spans="1:4" ht="18" customHeight="1">
      <c r="A244" s="40" t="s">
        <v>179</v>
      </c>
      <c r="B244" s="40" t="s">
        <v>254</v>
      </c>
      <c r="C244" s="40"/>
      <c r="D244" s="19">
        <v>2000</v>
      </c>
    </row>
    <row r="245" spans="1:4" ht="18" customHeight="1">
      <c r="A245" s="40" t="s">
        <v>179</v>
      </c>
      <c r="B245" s="40" t="s">
        <v>254</v>
      </c>
      <c r="C245" s="40"/>
      <c r="D245" s="19">
        <v>3000</v>
      </c>
    </row>
    <row r="246" spans="1:4" ht="18" customHeight="1">
      <c r="A246" s="40" t="s">
        <v>179</v>
      </c>
      <c r="B246" s="40" t="s">
        <v>254</v>
      </c>
      <c r="C246" s="40"/>
      <c r="D246" s="19">
        <v>2000</v>
      </c>
    </row>
    <row r="247" spans="1:4" ht="18" customHeight="1">
      <c r="A247" s="40" t="s">
        <v>179</v>
      </c>
      <c r="B247" s="40" t="s">
        <v>254</v>
      </c>
      <c r="C247" s="40"/>
      <c r="D247" s="19">
        <v>3000</v>
      </c>
    </row>
    <row r="248" spans="1:4" ht="18" customHeight="1">
      <c r="A248" s="40" t="s">
        <v>179</v>
      </c>
      <c r="B248" s="40" t="s">
        <v>254</v>
      </c>
      <c r="C248" s="40"/>
      <c r="D248" s="19">
        <v>999</v>
      </c>
    </row>
    <row r="249" spans="1:4" ht="18" customHeight="1">
      <c r="A249" s="40" t="s">
        <v>179</v>
      </c>
      <c r="B249" s="40" t="s">
        <v>254</v>
      </c>
      <c r="C249" s="40"/>
      <c r="D249" s="19">
        <v>8000</v>
      </c>
    </row>
    <row r="250" spans="1:4" ht="18" customHeight="1">
      <c r="A250" s="40" t="s">
        <v>179</v>
      </c>
      <c r="B250" s="40" t="s">
        <v>254</v>
      </c>
      <c r="C250" s="40"/>
      <c r="D250" s="19">
        <v>1500</v>
      </c>
    </row>
    <row r="251" spans="1:4" ht="18" customHeight="1">
      <c r="A251" s="40" t="s">
        <v>179</v>
      </c>
      <c r="B251" s="40" t="s">
        <v>254</v>
      </c>
      <c r="C251" s="40"/>
      <c r="D251" s="19">
        <v>2000</v>
      </c>
    </row>
    <row r="252" spans="1:4" ht="18" customHeight="1">
      <c r="A252" s="40" t="s">
        <v>179</v>
      </c>
      <c r="B252" s="40" t="s">
        <v>254</v>
      </c>
      <c r="C252" s="40"/>
      <c r="D252" s="19">
        <v>3150</v>
      </c>
    </row>
    <row r="253" spans="1:4" ht="18" customHeight="1">
      <c r="A253" s="40" t="s">
        <v>179</v>
      </c>
      <c r="B253" s="40" t="s">
        <v>254</v>
      </c>
      <c r="C253" s="40"/>
      <c r="D253" s="19">
        <v>500</v>
      </c>
    </row>
    <row r="254" spans="1:4" ht="18" customHeight="1">
      <c r="A254" s="40" t="s">
        <v>179</v>
      </c>
      <c r="B254" s="40" t="s">
        <v>254</v>
      </c>
      <c r="C254" s="40"/>
      <c r="D254" s="19">
        <v>1000</v>
      </c>
    </row>
    <row r="255" spans="1:4" ht="18" customHeight="1">
      <c r="A255" s="40" t="s">
        <v>179</v>
      </c>
      <c r="B255" s="40" t="s">
        <v>254</v>
      </c>
      <c r="C255" s="40"/>
      <c r="D255" s="19">
        <v>4000</v>
      </c>
    </row>
    <row r="256" spans="1:4" ht="18" customHeight="1">
      <c r="A256" s="40" t="s">
        <v>179</v>
      </c>
      <c r="B256" s="40" t="s">
        <v>254</v>
      </c>
      <c r="C256" s="40"/>
      <c r="D256" s="19">
        <v>999</v>
      </c>
    </row>
    <row r="257" spans="1:4" ht="18" customHeight="1">
      <c r="A257" s="40" t="s">
        <v>179</v>
      </c>
      <c r="B257" s="40" t="s">
        <v>254</v>
      </c>
      <c r="C257" s="40"/>
      <c r="D257" s="19">
        <v>999</v>
      </c>
    </row>
    <row r="258" spans="1:4" ht="18" customHeight="1">
      <c r="A258" s="40" t="s">
        <v>179</v>
      </c>
      <c r="B258" s="40" t="s">
        <v>254</v>
      </c>
      <c r="C258" s="40"/>
      <c r="D258" s="19">
        <v>999</v>
      </c>
    </row>
    <row r="259" spans="1:4" ht="18" customHeight="1">
      <c r="A259" s="40" t="s">
        <v>179</v>
      </c>
      <c r="B259" s="40" t="s">
        <v>254</v>
      </c>
      <c r="C259" s="40"/>
      <c r="D259" s="27">
        <v>3950</v>
      </c>
    </row>
    <row r="260" spans="1:4" ht="18" customHeight="1">
      <c r="A260" s="40" t="s">
        <v>179</v>
      </c>
      <c r="B260" s="40" t="s">
        <v>254</v>
      </c>
      <c r="C260" s="40"/>
      <c r="D260" s="27">
        <v>4600</v>
      </c>
    </row>
    <row r="261" spans="1:4" ht="18" customHeight="1">
      <c r="A261" s="40" t="s">
        <v>179</v>
      </c>
      <c r="B261" s="40" t="s">
        <v>254</v>
      </c>
      <c r="C261" s="40"/>
      <c r="D261" s="19">
        <v>35000</v>
      </c>
    </row>
    <row r="262" spans="1:4" ht="18" customHeight="1">
      <c r="A262" s="40" t="s">
        <v>179</v>
      </c>
      <c r="B262" s="40" t="s">
        <v>254</v>
      </c>
      <c r="C262" s="40"/>
      <c r="D262" s="19">
        <v>15000</v>
      </c>
    </row>
    <row r="263" spans="1:4" ht="18" customHeight="1">
      <c r="A263" s="40" t="s">
        <v>179</v>
      </c>
      <c r="B263" s="40" t="s">
        <v>254</v>
      </c>
      <c r="C263" s="40"/>
      <c r="D263" s="19">
        <v>999</v>
      </c>
    </row>
    <row r="264" spans="1:4" ht="18" customHeight="1">
      <c r="A264" s="40" t="s">
        <v>179</v>
      </c>
      <c r="B264" s="40" t="s">
        <v>254</v>
      </c>
      <c r="C264" s="40"/>
      <c r="D264" s="19">
        <v>6000</v>
      </c>
    </row>
    <row r="265" spans="1:4" ht="18" customHeight="1">
      <c r="A265" s="40" t="s">
        <v>179</v>
      </c>
      <c r="B265" s="40" t="s">
        <v>254</v>
      </c>
      <c r="C265" s="40"/>
      <c r="D265" s="19">
        <v>999</v>
      </c>
    </row>
    <row r="266" spans="1:4" ht="18" customHeight="1">
      <c r="A266" s="40" t="s">
        <v>179</v>
      </c>
      <c r="B266" s="40" t="s">
        <v>254</v>
      </c>
      <c r="C266" s="40"/>
      <c r="D266" s="19">
        <v>999</v>
      </c>
    </row>
    <row r="267" spans="1:4" ht="18" customHeight="1">
      <c r="A267" s="40" t="s">
        <v>179</v>
      </c>
      <c r="B267" s="40" t="s">
        <v>254</v>
      </c>
      <c r="C267" s="40"/>
      <c r="D267" s="19">
        <v>999</v>
      </c>
    </row>
    <row r="268" spans="1:4" ht="18" customHeight="1">
      <c r="A268" s="40" t="s">
        <v>179</v>
      </c>
      <c r="B268" s="40" t="s">
        <v>254</v>
      </c>
      <c r="C268" s="40"/>
      <c r="D268" s="19">
        <v>999</v>
      </c>
    </row>
    <row r="269" spans="1:4" ht="18" customHeight="1">
      <c r="A269" s="40" t="s">
        <v>179</v>
      </c>
      <c r="B269" s="40" t="s">
        <v>254</v>
      </c>
      <c r="C269" s="40"/>
      <c r="D269" s="27">
        <v>7250</v>
      </c>
    </row>
    <row r="270" spans="1:4" ht="18" customHeight="1">
      <c r="A270" s="40" t="s">
        <v>179</v>
      </c>
      <c r="B270" s="40" t="s">
        <v>254</v>
      </c>
      <c r="C270" s="40"/>
      <c r="D270" s="27">
        <v>11500</v>
      </c>
    </row>
    <row r="271" spans="1:4" ht="18" customHeight="1">
      <c r="A271" s="40" t="s">
        <v>179</v>
      </c>
      <c r="B271" s="40" t="s">
        <v>254</v>
      </c>
      <c r="C271" s="40"/>
      <c r="D271" s="27">
        <v>5750</v>
      </c>
    </row>
    <row r="272" spans="1:4" ht="18" customHeight="1">
      <c r="A272" s="40" t="s">
        <v>179</v>
      </c>
      <c r="B272" s="40" t="s">
        <v>254</v>
      </c>
      <c r="C272" s="40"/>
      <c r="D272" s="27">
        <v>2380</v>
      </c>
    </row>
    <row r="273" spans="1:4" ht="18" customHeight="1">
      <c r="A273" s="40" t="s">
        <v>179</v>
      </c>
      <c r="B273" s="40" t="s">
        <v>254</v>
      </c>
      <c r="C273" s="40"/>
      <c r="D273" s="27">
        <v>15000</v>
      </c>
    </row>
    <row r="274" spans="1:4" ht="18" customHeight="1">
      <c r="A274" s="40" t="s">
        <v>179</v>
      </c>
      <c r="B274" s="40" t="s">
        <v>254</v>
      </c>
      <c r="C274" s="40"/>
      <c r="D274" s="27">
        <v>570</v>
      </c>
    </row>
    <row r="275" spans="1:4" ht="18" customHeight="1">
      <c r="A275" s="40" t="s">
        <v>179</v>
      </c>
      <c r="B275" s="40" t="s">
        <v>254</v>
      </c>
      <c r="C275" s="40"/>
      <c r="D275" s="27">
        <v>1000</v>
      </c>
    </row>
    <row r="276" spans="1:4" ht="18" customHeight="1">
      <c r="A276" s="40" t="s">
        <v>179</v>
      </c>
      <c r="B276" s="40" t="s">
        <v>254</v>
      </c>
      <c r="C276" s="40"/>
      <c r="D276" s="27">
        <v>800</v>
      </c>
    </row>
    <row r="277" spans="1:4" ht="18" customHeight="1">
      <c r="A277" s="40" t="s">
        <v>179</v>
      </c>
      <c r="B277" s="40" t="s">
        <v>254</v>
      </c>
      <c r="C277" s="40"/>
      <c r="D277" s="27">
        <v>3000</v>
      </c>
    </row>
    <row r="278" spans="1:4" ht="18" customHeight="1">
      <c r="A278" s="40" t="s">
        <v>179</v>
      </c>
      <c r="B278" s="40" t="s">
        <v>254</v>
      </c>
      <c r="C278" s="40"/>
      <c r="D278" s="27">
        <v>5500</v>
      </c>
    </row>
    <row r="279" spans="1:4" ht="18" customHeight="1">
      <c r="A279" s="40" t="s">
        <v>179</v>
      </c>
      <c r="B279" s="40" t="s">
        <v>254</v>
      </c>
      <c r="C279" s="40"/>
      <c r="D279" s="27">
        <v>6000</v>
      </c>
    </row>
    <row r="280" spans="1:4" ht="18" customHeight="1">
      <c r="A280" s="40" t="s">
        <v>179</v>
      </c>
      <c r="B280" s="40" t="s">
        <v>254</v>
      </c>
      <c r="C280" s="40"/>
      <c r="D280" s="27">
        <v>2000</v>
      </c>
    </row>
    <row r="281" spans="1:4" ht="18" customHeight="1">
      <c r="A281" s="40" t="s">
        <v>179</v>
      </c>
      <c r="B281" s="40" t="s">
        <v>254</v>
      </c>
      <c r="C281" s="40"/>
      <c r="D281" s="19">
        <v>30000</v>
      </c>
    </row>
    <row r="282" spans="1:4" ht="18" customHeight="1">
      <c r="A282" s="40" t="s">
        <v>179</v>
      </c>
      <c r="B282" s="40" t="s">
        <v>254</v>
      </c>
      <c r="C282" s="40"/>
      <c r="D282" s="27">
        <f>18000/15</f>
        <v>1200</v>
      </c>
    </row>
    <row r="283" spans="1:4" ht="18" customHeight="1">
      <c r="A283" s="40" t="s">
        <v>179</v>
      </c>
      <c r="B283" s="40" t="s">
        <v>254</v>
      </c>
      <c r="C283" s="40"/>
      <c r="D283" s="27">
        <f>18000/9</f>
        <v>2000</v>
      </c>
    </row>
    <row r="284" spans="1:4" ht="18" customHeight="1">
      <c r="A284" s="40" t="s">
        <v>179</v>
      </c>
      <c r="B284" s="40" t="s">
        <v>254</v>
      </c>
      <c r="C284" s="40"/>
      <c r="D284" s="19">
        <v>6000</v>
      </c>
    </row>
    <row r="285" spans="1:4" ht="18" customHeight="1">
      <c r="A285" s="40" t="s">
        <v>179</v>
      </c>
      <c r="B285" s="40" t="s">
        <v>254</v>
      </c>
      <c r="C285" s="40"/>
      <c r="D285" s="19">
        <v>100000</v>
      </c>
    </row>
    <row r="286" spans="1:4" ht="18" customHeight="1">
      <c r="A286" s="40" t="s">
        <v>179</v>
      </c>
      <c r="B286" s="40" t="s">
        <v>254</v>
      </c>
      <c r="C286" s="40"/>
      <c r="D286" s="27">
        <v>85000</v>
      </c>
    </row>
    <row r="287" spans="1:4" ht="18" customHeight="1">
      <c r="A287" s="40" t="s">
        <v>179</v>
      </c>
      <c r="B287" s="40" t="s">
        <v>254</v>
      </c>
      <c r="C287" s="40"/>
      <c r="D287" s="27">
        <v>75000</v>
      </c>
    </row>
    <row r="288" spans="1:4" ht="18" customHeight="1">
      <c r="A288" s="40" t="s">
        <v>179</v>
      </c>
      <c r="B288" s="40" t="s">
        <v>254</v>
      </c>
      <c r="C288" s="40"/>
      <c r="D288" s="27">
        <f>15000/37</f>
        <v>405.40540540540542</v>
      </c>
    </row>
    <row r="289" spans="1:4" ht="18" customHeight="1">
      <c r="A289" s="40" t="s">
        <v>179</v>
      </c>
      <c r="B289" s="40" t="s">
        <v>254</v>
      </c>
      <c r="C289" s="40"/>
      <c r="D289" s="27">
        <f>15000/16</f>
        <v>937.5</v>
      </c>
    </row>
    <row r="290" spans="1:4" ht="18" customHeight="1">
      <c r="A290" s="40" t="s">
        <v>179</v>
      </c>
      <c r="B290" s="40" t="s">
        <v>254</v>
      </c>
      <c r="C290" s="40"/>
      <c r="D290" s="27">
        <v>999</v>
      </c>
    </row>
    <row r="291" spans="1:4" ht="18" customHeight="1">
      <c r="A291" s="40" t="s">
        <v>179</v>
      </c>
      <c r="B291" s="40" t="s">
        <v>254</v>
      </c>
      <c r="C291" s="40"/>
      <c r="D291" s="27">
        <v>999</v>
      </c>
    </row>
    <row r="292" spans="1:4" ht="18" customHeight="1">
      <c r="A292" s="40" t="s">
        <v>179</v>
      </c>
      <c r="B292" s="40" t="s">
        <v>254</v>
      </c>
      <c r="C292" s="40"/>
      <c r="D292" s="27">
        <v>999</v>
      </c>
    </row>
    <row r="293" spans="1:4" ht="18" customHeight="1">
      <c r="A293" s="40" t="s">
        <v>179</v>
      </c>
      <c r="B293" s="40" t="s">
        <v>254</v>
      </c>
      <c r="C293" s="40"/>
      <c r="D293" s="19">
        <v>999</v>
      </c>
    </row>
    <row r="294" spans="1:4" ht="18" customHeight="1">
      <c r="A294" s="40" t="s">
        <v>179</v>
      </c>
      <c r="B294" s="40" t="s">
        <v>254</v>
      </c>
      <c r="C294" s="40"/>
      <c r="D294" s="19">
        <v>12000</v>
      </c>
    </row>
    <row r="295" spans="1:4" ht="18" customHeight="1">
      <c r="A295" s="40" t="s">
        <v>179</v>
      </c>
      <c r="B295" s="40" t="s">
        <v>254</v>
      </c>
      <c r="C295" s="40"/>
      <c r="D295" s="19">
        <v>4500</v>
      </c>
    </row>
    <row r="296" spans="1:4" ht="18" customHeight="1">
      <c r="A296" s="40" t="s">
        <v>179</v>
      </c>
      <c r="B296" s="40" t="s">
        <v>254</v>
      </c>
      <c r="C296" s="40"/>
      <c r="D296" s="19">
        <v>1500</v>
      </c>
    </row>
    <row r="297" spans="1:4" ht="18" customHeight="1">
      <c r="A297" s="40" t="s">
        <v>179</v>
      </c>
      <c r="B297" s="40" t="s">
        <v>254</v>
      </c>
      <c r="C297" s="40"/>
      <c r="D297" s="19">
        <v>37500</v>
      </c>
    </row>
    <row r="298" spans="1:4" ht="18" customHeight="1">
      <c r="A298" s="40" t="s">
        <v>179</v>
      </c>
      <c r="B298" s="40" t="s">
        <v>254</v>
      </c>
      <c r="C298" s="40"/>
      <c r="D298" s="19">
        <v>41500</v>
      </c>
    </row>
    <row r="299" spans="1:4" ht="18" customHeight="1">
      <c r="A299" s="40" t="s">
        <v>179</v>
      </c>
      <c r="B299" s="40" t="s">
        <v>254</v>
      </c>
      <c r="C299" s="40"/>
      <c r="D299" s="19">
        <v>45500</v>
      </c>
    </row>
    <row r="300" spans="1:4" ht="18" customHeight="1">
      <c r="A300" s="40" t="s">
        <v>179</v>
      </c>
      <c r="B300" s="40" t="s">
        <v>254</v>
      </c>
      <c r="C300" s="40"/>
      <c r="D300" s="19">
        <v>49500</v>
      </c>
    </row>
    <row r="301" spans="1:4" ht="18" customHeight="1">
      <c r="A301" s="40" t="s">
        <v>179</v>
      </c>
      <c r="B301" s="40" t="s">
        <v>254</v>
      </c>
      <c r="C301" s="40"/>
      <c r="D301" s="19">
        <v>55500</v>
      </c>
    </row>
    <row r="302" spans="1:4" ht="18" customHeight="1">
      <c r="A302" s="40" t="s">
        <v>179</v>
      </c>
      <c r="B302" s="40" t="s">
        <v>254</v>
      </c>
      <c r="C302" s="40"/>
      <c r="D302" s="19">
        <v>58500</v>
      </c>
    </row>
    <row r="303" spans="1:4" ht="18" customHeight="1">
      <c r="A303" s="40" t="s">
        <v>179</v>
      </c>
      <c r="B303" s="40" t="s">
        <v>254</v>
      </c>
      <c r="C303" s="40"/>
      <c r="D303" s="19">
        <v>61500</v>
      </c>
    </row>
    <row r="304" spans="1:4" ht="18" customHeight="1">
      <c r="A304" s="40" t="s">
        <v>179</v>
      </c>
      <c r="B304" s="40" t="s">
        <v>254</v>
      </c>
      <c r="C304" s="40"/>
      <c r="D304" s="19">
        <v>66500</v>
      </c>
    </row>
    <row r="305" spans="1:5" ht="18" customHeight="1">
      <c r="A305" s="40" t="s">
        <v>179</v>
      </c>
      <c r="B305" s="40" t="s">
        <v>254</v>
      </c>
      <c r="C305" s="40"/>
      <c r="D305" s="19">
        <v>3000</v>
      </c>
    </row>
    <row r="306" spans="1:5" ht="18" customHeight="1">
      <c r="A306" s="40" t="s">
        <v>179</v>
      </c>
      <c r="B306" s="40" t="s">
        <v>254</v>
      </c>
      <c r="C306" s="40"/>
      <c r="D306" s="19">
        <v>500</v>
      </c>
    </row>
    <row r="307" spans="1:5" ht="18" customHeight="1">
      <c r="A307" s="40" t="s">
        <v>179</v>
      </c>
      <c r="B307" s="40" t="s">
        <v>254</v>
      </c>
      <c r="C307" s="40"/>
      <c r="D307" s="19">
        <v>49500</v>
      </c>
    </row>
    <row r="308" spans="1:5" ht="18" customHeight="1">
      <c r="A308" s="40" t="s">
        <v>179</v>
      </c>
      <c r="B308" s="40" t="s">
        <v>254</v>
      </c>
      <c r="C308" s="40"/>
      <c r="D308" s="19">
        <v>65000</v>
      </c>
    </row>
    <row r="309" spans="1:5" ht="18" customHeight="1">
      <c r="A309" s="40" t="s">
        <v>179</v>
      </c>
      <c r="B309" s="40" t="s">
        <v>254</v>
      </c>
      <c r="C309" s="40"/>
      <c r="D309" s="19">
        <v>65000</v>
      </c>
    </row>
    <row r="310" spans="1:5" ht="18" customHeight="1">
      <c r="A310" s="40" t="s">
        <v>179</v>
      </c>
      <c r="B310" s="40" t="s">
        <v>254</v>
      </c>
      <c r="C310" s="40"/>
      <c r="D310" s="19">
        <v>49500</v>
      </c>
    </row>
    <row r="311" spans="1:5" ht="18" customHeight="1">
      <c r="A311" s="40" t="s">
        <v>179</v>
      </c>
      <c r="B311" s="40" t="s">
        <v>254</v>
      </c>
      <c r="C311" s="40"/>
      <c r="D311" s="19">
        <v>25000</v>
      </c>
    </row>
    <row r="312" spans="1:5" ht="18" customHeight="1">
      <c r="A312" s="40" t="s">
        <v>179</v>
      </c>
      <c r="B312" s="40" t="s">
        <v>254</v>
      </c>
      <c r="C312" s="40"/>
      <c r="D312" s="27">
        <v>89000</v>
      </c>
    </row>
    <row r="313" spans="1:5" ht="18" customHeight="1">
      <c r="A313" s="40" t="s">
        <v>179</v>
      </c>
      <c r="B313" s="40" t="s">
        <v>254</v>
      </c>
      <c r="C313" s="40"/>
      <c r="D313" s="27">
        <v>83000</v>
      </c>
    </row>
    <row r="314" spans="1:5" ht="18" customHeight="1">
      <c r="A314" s="40" t="s">
        <v>179</v>
      </c>
      <c r="B314" s="40" t="s">
        <v>254</v>
      </c>
      <c r="C314" s="40"/>
      <c r="D314" s="19">
        <v>999</v>
      </c>
    </row>
    <row r="315" spans="1:5" ht="18" customHeight="1">
      <c r="A315" s="40" t="s">
        <v>179</v>
      </c>
      <c r="B315" s="40" t="s">
        <v>254</v>
      </c>
      <c r="C315" s="40"/>
      <c r="D315" s="27">
        <v>25500</v>
      </c>
    </row>
    <row r="316" spans="1:5" ht="18" customHeight="1">
      <c r="A316" s="40" t="s">
        <v>179</v>
      </c>
      <c r="B316" s="40" t="s">
        <v>254</v>
      </c>
      <c r="C316" s="40"/>
      <c r="D316" s="27">
        <v>39000</v>
      </c>
      <c r="E316" s="27"/>
    </row>
    <row r="317" spans="1:5" ht="18" customHeight="1">
      <c r="A317" s="40" t="s">
        <v>179</v>
      </c>
      <c r="B317" s="40" t="s">
        <v>254</v>
      </c>
      <c r="C317" s="40"/>
      <c r="D317" s="27">
        <v>40900</v>
      </c>
      <c r="E317" s="27"/>
    </row>
    <row r="318" spans="1:5" ht="18" customHeight="1">
      <c r="A318" s="40" t="s">
        <v>179</v>
      </c>
      <c r="B318" s="40" t="s">
        <v>254</v>
      </c>
      <c r="C318" s="40"/>
      <c r="D318" s="27">
        <v>9900</v>
      </c>
    </row>
    <row r="319" spans="1:5" ht="18" customHeight="1">
      <c r="A319" s="40" t="s">
        <v>179</v>
      </c>
      <c r="B319" s="40" t="s">
        <v>254</v>
      </c>
      <c r="C319" s="40"/>
      <c r="D319" s="27">
        <v>7900</v>
      </c>
    </row>
    <row r="320" spans="1:5" ht="18" customHeight="1">
      <c r="A320" s="40" t="s">
        <v>179</v>
      </c>
      <c r="B320" s="40" t="s">
        <v>254</v>
      </c>
      <c r="C320" s="40"/>
      <c r="D320" s="27">
        <v>25500</v>
      </c>
      <c r="E320" s="27"/>
    </row>
    <row r="321" spans="1:5" ht="18" customHeight="1">
      <c r="A321" s="40" t="s">
        <v>179</v>
      </c>
      <c r="B321" s="40" t="s">
        <v>254</v>
      </c>
      <c r="C321" s="40"/>
      <c r="D321" s="27">
        <v>40900</v>
      </c>
    </row>
    <row r="322" spans="1:5" ht="18" customHeight="1">
      <c r="A322" s="40" t="s">
        <v>179</v>
      </c>
      <c r="B322" s="40" t="s">
        <v>254</v>
      </c>
      <c r="C322" s="40"/>
      <c r="D322" s="27">
        <v>9900</v>
      </c>
    </row>
    <row r="323" spans="1:5" ht="18" customHeight="1">
      <c r="A323" s="40" t="s">
        <v>179</v>
      </c>
      <c r="B323" s="40" t="s">
        <v>254</v>
      </c>
      <c r="C323" s="40"/>
      <c r="D323" s="27">
        <v>6400</v>
      </c>
    </row>
    <row r="324" spans="1:5" ht="18" customHeight="1">
      <c r="A324" s="40" t="s">
        <v>179</v>
      </c>
      <c r="B324" s="40" t="s">
        <v>254</v>
      </c>
      <c r="C324" s="40"/>
      <c r="D324" s="19">
        <v>5000</v>
      </c>
    </row>
    <row r="325" spans="1:5" ht="18" customHeight="1">
      <c r="A325" s="40" t="s">
        <v>179</v>
      </c>
      <c r="B325" s="40" t="s">
        <v>254</v>
      </c>
      <c r="C325" s="40"/>
      <c r="D325" s="19">
        <v>1000</v>
      </c>
    </row>
    <row r="326" spans="1:5" ht="18" customHeight="1">
      <c r="A326" s="40" t="s">
        <v>179</v>
      </c>
      <c r="B326" s="40" t="s">
        <v>254</v>
      </c>
      <c r="C326" s="40"/>
      <c r="D326" s="27">
        <v>38900</v>
      </c>
      <c r="E326" s="27"/>
    </row>
    <row r="327" spans="1:5" ht="18" customHeight="1">
      <c r="A327" s="40" t="s">
        <v>179</v>
      </c>
      <c r="B327" s="40" t="s">
        <v>254</v>
      </c>
      <c r="C327" s="40"/>
      <c r="D327" s="27">
        <v>40800</v>
      </c>
      <c r="E327" s="27"/>
    </row>
    <row r="328" spans="1:5" ht="18" customHeight="1">
      <c r="A328" s="40" t="s">
        <v>179</v>
      </c>
      <c r="B328" s="40" t="s">
        <v>254</v>
      </c>
      <c r="C328" s="40"/>
      <c r="D328" s="27">
        <v>12000</v>
      </c>
    </row>
    <row r="329" spans="1:5" ht="18" customHeight="1">
      <c r="A329" s="40" t="s">
        <v>179</v>
      </c>
      <c r="B329" s="40" t="s">
        <v>254</v>
      </c>
      <c r="C329" s="40"/>
      <c r="D329" s="19">
        <v>999</v>
      </c>
    </row>
    <row r="330" spans="1:5" ht="18" customHeight="1">
      <c r="A330" s="40" t="s">
        <v>179</v>
      </c>
      <c r="B330" s="40" t="s">
        <v>254</v>
      </c>
      <c r="C330" s="40"/>
      <c r="D330" s="19">
        <v>999</v>
      </c>
    </row>
    <row r="331" spans="1:5" ht="18" customHeight="1">
      <c r="A331" s="40" t="s">
        <v>179</v>
      </c>
      <c r="B331" s="40" t="s">
        <v>254</v>
      </c>
      <c r="C331" s="40"/>
      <c r="D331" s="19">
        <v>999</v>
      </c>
    </row>
    <row r="332" spans="1:5" ht="18" customHeight="1">
      <c r="A332" s="40" t="s">
        <v>179</v>
      </c>
      <c r="B332" s="40" t="s">
        <v>254</v>
      </c>
      <c r="C332" s="40"/>
      <c r="D332" s="19">
        <v>999</v>
      </c>
    </row>
    <row r="333" spans="1:5" ht="18" customHeight="1">
      <c r="A333" s="40" t="s">
        <v>179</v>
      </c>
      <c r="B333" s="40" t="s">
        <v>254</v>
      </c>
      <c r="C333" s="40"/>
      <c r="D333" s="19">
        <v>58500</v>
      </c>
    </row>
    <row r="334" spans="1:5" ht="18" customHeight="1">
      <c r="A334" s="40" t="s">
        <v>179</v>
      </c>
      <c r="B334" s="40" t="s">
        <v>254</v>
      </c>
      <c r="C334" s="40"/>
      <c r="D334" s="19">
        <v>150000</v>
      </c>
    </row>
    <row r="335" spans="1:5" ht="18" customHeight="1">
      <c r="A335" s="40" t="s">
        <v>179</v>
      </c>
      <c r="B335" s="40" t="s">
        <v>254</v>
      </c>
      <c r="C335" s="40"/>
      <c r="D335" s="19">
        <v>15000</v>
      </c>
    </row>
    <row r="336" spans="1:5" ht="18" customHeight="1">
      <c r="A336" s="40" t="s">
        <v>179</v>
      </c>
      <c r="B336" s="40" t="s">
        <v>254</v>
      </c>
      <c r="C336" s="40"/>
      <c r="D336" s="27">
        <v>9500</v>
      </c>
      <c r="E336" s="27"/>
    </row>
    <row r="337" spans="1:5" ht="18" customHeight="1">
      <c r="A337" s="40" t="s">
        <v>179</v>
      </c>
      <c r="B337" s="40" t="s">
        <v>254</v>
      </c>
      <c r="C337" s="40"/>
      <c r="D337" s="27">
        <v>11000</v>
      </c>
      <c r="E337" s="27"/>
    </row>
    <row r="338" spans="1:5" ht="18" customHeight="1">
      <c r="A338" s="40" t="s">
        <v>179</v>
      </c>
      <c r="B338" s="40" t="s">
        <v>254</v>
      </c>
      <c r="C338" s="40"/>
      <c r="D338" s="19">
        <v>999</v>
      </c>
    </row>
    <row r="339" spans="1:5" ht="18" customHeight="1">
      <c r="A339" s="40" t="s">
        <v>179</v>
      </c>
      <c r="B339" s="40" t="s">
        <v>254</v>
      </c>
      <c r="C339" s="40"/>
      <c r="D339" s="27">
        <v>10200</v>
      </c>
      <c r="E339" s="27"/>
    </row>
    <row r="340" spans="1:5" ht="18" customHeight="1">
      <c r="A340" s="40" t="s">
        <v>179</v>
      </c>
      <c r="B340" s="40" t="s">
        <v>255</v>
      </c>
      <c r="C340" s="40" t="s">
        <v>426</v>
      </c>
      <c r="D340" s="27">
        <v>11000</v>
      </c>
      <c r="E340" s="27"/>
    </row>
    <row r="341" spans="1:5" ht="18" customHeight="1">
      <c r="A341" s="40" t="s">
        <v>179</v>
      </c>
      <c r="B341" s="40" t="s">
        <v>255</v>
      </c>
      <c r="C341" s="40" t="s">
        <v>427</v>
      </c>
      <c r="D341" s="27">
        <v>11000</v>
      </c>
      <c r="E341" s="27"/>
    </row>
    <row r="342" spans="1:5" ht="18" customHeight="1">
      <c r="A342" s="40" t="s">
        <v>179</v>
      </c>
      <c r="B342" s="40" t="s">
        <v>255</v>
      </c>
      <c r="C342" s="40" t="s">
        <v>428</v>
      </c>
      <c r="D342" s="19">
        <v>999</v>
      </c>
    </row>
    <row r="343" spans="1:5" ht="18" customHeight="1">
      <c r="A343" s="40" t="s">
        <v>179</v>
      </c>
      <c r="B343" s="40" t="s">
        <v>255</v>
      </c>
      <c r="C343" s="40" t="s">
        <v>429</v>
      </c>
      <c r="D343" s="19">
        <v>999</v>
      </c>
    </row>
    <row r="344" spans="1:5" ht="18" customHeight="1">
      <c r="A344" s="40" t="s">
        <v>179</v>
      </c>
      <c r="B344" s="40" t="s">
        <v>255</v>
      </c>
      <c r="C344" s="40" t="s">
        <v>430</v>
      </c>
      <c r="D344" s="19">
        <v>999</v>
      </c>
    </row>
    <row r="345" spans="1:5" ht="18" customHeight="1">
      <c r="A345" s="40" t="s">
        <v>179</v>
      </c>
      <c r="B345" s="40" t="s">
        <v>255</v>
      </c>
      <c r="C345" s="40" t="s">
        <v>431</v>
      </c>
      <c r="D345" s="27">
        <v>44000</v>
      </c>
    </row>
    <row r="346" spans="1:5" ht="18" customHeight="1">
      <c r="A346" s="40" t="s">
        <v>179</v>
      </c>
      <c r="B346" s="40" t="s">
        <v>255</v>
      </c>
      <c r="C346" s="40" t="s">
        <v>432</v>
      </c>
      <c r="D346" s="27">
        <v>20000</v>
      </c>
    </row>
    <row r="347" spans="1:5" ht="18" customHeight="1">
      <c r="A347" s="40" t="s">
        <v>179</v>
      </c>
      <c r="B347" s="40" t="s">
        <v>255</v>
      </c>
      <c r="C347" s="40" t="s">
        <v>433</v>
      </c>
      <c r="D347" s="27">
        <v>74000</v>
      </c>
    </row>
    <row r="348" spans="1:5" ht="18" customHeight="1">
      <c r="A348" s="40" t="s">
        <v>179</v>
      </c>
      <c r="B348" s="40" t="s">
        <v>255</v>
      </c>
      <c r="C348" s="40" t="s">
        <v>434</v>
      </c>
      <c r="D348" s="19">
        <v>999</v>
      </c>
    </row>
    <row r="349" spans="1:5" ht="18" customHeight="1">
      <c r="A349" s="40" t="s">
        <v>179</v>
      </c>
      <c r="B349" s="40" t="s">
        <v>255</v>
      </c>
      <c r="C349" s="40" t="s">
        <v>435</v>
      </c>
      <c r="D349" s="19">
        <v>999</v>
      </c>
    </row>
    <row r="350" spans="1:5" ht="18" customHeight="1">
      <c r="A350" s="40" t="s">
        <v>179</v>
      </c>
      <c r="B350" s="40" t="s">
        <v>255</v>
      </c>
      <c r="C350" s="40" t="s">
        <v>436</v>
      </c>
      <c r="D350" s="19">
        <v>999</v>
      </c>
    </row>
    <row r="351" spans="1:5" ht="18" customHeight="1">
      <c r="A351" s="40" t="s">
        <v>179</v>
      </c>
      <c r="B351" s="40" t="s">
        <v>255</v>
      </c>
      <c r="C351" s="40" t="s">
        <v>437</v>
      </c>
      <c r="D351" s="19">
        <v>999</v>
      </c>
    </row>
    <row r="352" spans="1:5" ht="18" customHeight="1">
      <c r="A352" s="40" t="s">
        <v>179</v>
      </c>
      <c r="B352" s="40" t="s">
        <v>255</v>
      </c>
      <c r="C352" s="40" t="s">
        <v>438</v>
      </c>
      <c r="D352" s="19">
        <v>999</v>
      </c>
    </row>
    <row r="353" spans="1:4" ht="18" customHeight="1">
      <c r="A353" s="40" t="s">
        <v>179</v>
      </c>
      <c r="B353" s="40" t="s">
        <v>255</v>
      </c>
      <c r="C353" s="40" t="s">
        <v>439</v>
      </c>
      <c r="D353" s="19">
        <v>999</v>
      </c>
    </row>
    <row r="354" spans="1:4" ht="18" customHeight="1">
      <c r="A354" s="40" t="s">
        <v>179</v>
      </c>
      <c r="B354" s="40" t="s">
        <v>255</v>
      </c>
      <c r="C354" s="40" t="s">
        <v>440</v>
      </c>
      <c r="D354" s="19">
        <v>999</v>
      </c>
    </row>
    <row r="355" spans="1:4" ht="18" customHeight="1">
      <c r="A355" s="40" t="s">
        <v>179</v>
      </c>
      <c r="B355" s="40" t="s">
        <v>255</v>
      </c>
      <c r="C355" s="40" t="s">
        <v>441</v>
      </c>
      <c r="D355" s="19">
        <v>999</v>
      </c>
    </row>
    <row r="356" spans="1:4" ht="18" customHeight="1">
      <c r="A356" s="40" t="s">
        <v>179</v>
      </c>
      <c r="B356" s="40" t="s">
        <v>255</v>
      </c>
      <c r="C356" s="40" t="s">
        <v>442</v>
      </c>
      <c r="D356" s="19">
        <v>999</v>
      </c>
    </row>
    <row r="357" spans="1:4" ht="18" customHeight="1">
      <c r="A357" s="40" t="s">
        <v>179</v>
      </c>
      <c r="B357" s="40" t="s">
        <v>255</v>
      </c>
      <c r="C357" s="40" t="s">
        <v>443</v>
      </c>
      <c r="D357" s="19">
        <v>10000</v>
      </c>
    </row>
    <row r="358" spans="1:4" ht="18" customHeight="1">
      <c r="A358" s="40" t="s">
        <v>179</v>
      </c>
      <c r="B358" s="40" t="s">
        <v>255</v>
      </c>
      <c r="C358" s="40" t="s">
        <v>444</v>
      </c>
      <c r="D358" s="19">
        <v>6000</v>
      </c>
    </row>
    <row r="359" spans="1:4" ht="18" customHeight="1">
      <c r="A359" s="40" t="s">
        <v>179</v>
      </c>
      <c r="B359" s="40" t="s">
        <v>255</v>
      </c>
      <c r="C359" s="40" t="s">
        <v>445</v>
      </c>
      <c r="D359" s="19">
        <v>3000</v>
      </c>
    </row>
    <row r="360" spans="1:4" ht="18" customHeight="1">
      <c r="A360" s="40" t="s">
        <v>179</v>
      </c>
      <c r="B360" s="40" t="s">
        <v>255</v>
      </c>
      <c r="C360" s="40" t="s">
        <v>446</v>
      </c>
      <c r="D360" s="19">
        <v>3000</v>
      </c>
    </row>
    <row r="361" spans="1:4" ht="18" customHeight="1">
      <c r="A361" s="40" t="s">
        <v>179</v>
      </c>
      <c r="B361" s="40" t="s">
        <v>255</v>
      </c>
      <c r="C361" s="40" t="s">
        <v>447</v>
      </c>
      <c r="D361" s="19">
        <v>3000</v>
      </c>
    </row>
    <row r="362" spans="1:4" ht="18" customHeight="1">
      <c r="A362" s="40" t="s">
        <v>179</v>
      </c>
      <c r="B362" s="40" t="s">
        <v>255</v>
      </c>
      <c r="C362" s="40" t="s">
        <v>448</v>
      </c>
      <c r="D362" s="19">
        <v>8000</v>
      </c>
    </row>
    <row r="363" spans="1:4" ht="18" customHeight="1">
      <c r="A363" s="40" t="s">
        <v>179</v>
      </c>
      <c r="B363" s="40" t="s">
        <v>255</v>
      </c>
      <c r="C363" s="40" t="s">
        <v>449</v>
      </c>
      <c r="D363" s="19">
        <v>1400</v>
      </c>
    </row>
    <row r="364" spans="1:4" ht="18" customHeight="1">
      <c r="A364" s="40" t="s">
        <v>179</v>
      </c>
      <c r="B364" s="40" t="s">
        <v>255</v>
      </c>
      <c r="C364" s="40" t="s">
        <v>450</v>
      </c>
      <c r="D364" s="19">
        <v>999</v>
      </c>
    </row>
    <row r="365" spans="1:4" ht="18" customHeight="1">
      <c r="A365" s="40" t="s">
        <v>179</v>
      </c>
      <c r="B365" s="40" t="s">
        <v>255</v>
      </c>
      <c r="C365" s="40" t="s">
        <v>451</v>
      </c>
      <c r="D365" s="19">
        <v>999</v>
      </c>
    </row>
    <row r="366" spans="1:4" ht="18" customHeight="1">
      <c r="A366" s="40" t="s">
        <v>179</v>
      </c>
      <c r="B366" s="40" t="s">
        <v>255</v>
      </c>
      <c r="C366" s="40" t="s">
        <v>452</v>
      </c>
      <c r="D366" s="19">
        <v>1000</v>
      </c>
    </row>
    <row r="367" spans="1:4" ht="18" customHeight="1">
      <c r="A367" s="40" t="s">
        <v>179</v>
      </c>
      <c r="B367" s="40" t="s">
        <v>255</v>
      </c>
      <c r="C367" s="40" t="s">
        <v>453</v>
      </c>
      <c r="D367" s="19">
        <v>2500</v>
      </c>
    </row>
    <row r="368" spans="1:4" ht="18" customHeight="1">
      <c r="A368" s="40" t="s">
        <v>179</v>
      </c>
      <c r="B368" s="40" t="s">
        <v>255</v>
      </c>
      <c r="C368" s="40" t="s">
        <v>454</v>
      </c>
      <c r="D368" s="19">
        <v>2000</v>
      </c>
    </row>
    <row r="369" spans="1:4" ht="18" customHeight="1">
      <c r="A369" s="40" t="s">
        <v>179</v>
      </c>
      <c r="B369" s="40" t="s">
        <v>255</v>
      </c>
      <c r="C369" s="40" t="s">
        <v>455</v>
      </c>
      <c r="D369" s="19">
        <v>3000</v>
      </c>
    </row>
    <row r="370" spans="1:4" ht="18" customHeight="1">
      <c r="A370" s="40" t="s">
        <v>179</v>
      </c>
      <c r="B370" s="40" t="s">
        <v>255</v>
      </c>
      <c r="C370" s="40" t="s">
        <v>456</v>
      </c>
      <c r="D370" s="19">
        <v>2000</v>
      </c>
    </row>
    <row r="371" spans="1:4" ht="18" customHeight="1">
      <c r="A371" s="40" t="s">
        <v>179</v>
      </c>
      <c r="B371" s="40" t="s">
        <v>255</v>
      </c>
      <c r="C371" s="40" t="s">
        <v>457</v>
      </c>
      <c r="D371" s="19">
        <v>3000</v>
      </c>
    </row>
    <row r="372" spans="1:4" ht="18" customHeight="1">
      <c r="A372" s="40" t="s">
        <v>179</v>
      </c>
      <c r="B372" s="40" t="s">
        <v>255</v>
      </c>
      <c r="C372" s="40" t="s">
        <v>458</v>
      </c>
      <c r="D372" s="19">
        <v>999</v>
      </c>
    </row>
    <row r="373" spans="1:4" ht="18" customHeight="1">
      <c r="A373" s="40" t="s">
        <v>179</v>
      </c>
      <c r="B373" s="40" t="s">
        <v>255</v>
      </c>
      <c r="C373" s="40" t="s">
        <v>459</v>
      </c>
      <c r="D373" s="19">
        <v>8000</v>
      </c>
    </row>
    <row r="374" spans="1:4" ht="18" customHeight="1">
      <c r="A374" s="40" t="s">
        <v>179</v>
      </c>
      <c r="B374" s="40" t="s">
        <v>255</v>
      </c>
      <c r="C374" s="40" t="s">
        <v>460</v>
      </c>
      <c r="D374" s="19">
        <v>1500</v>
      </c>
    </row>
    <row r="375" spans="1:4" ht="18" customHeight="1">
      <c r="A375" s="40" t="s">
        <v>179</v>
      </c>
      <c r="B375" s="40" t="s">
        <v>255</v>
      </c>
      <c r="C375" s="40" t="s">
        <v>461</v>
      </c>
      <c r="D375" s="19">
        <v>2000</v>
      </c>
    </row>
    <row r="376" spans="1:4" ht="18" customHeight="1">
      <c r="A376" s="40" t="s">
        <v>179</v>
      </c>
      <c r="B376" s="40" t="s">
        <v>202</v>
      </c>
      <c r="C376" s="40"/>
      <c r="D376" s="19">
        <v>3150</v>
      </c>
    </row>
    <row r="377" spans="1:4" ht="18" customHeight="1">
      <c r="A377" s="40" t="s">
        <v>179</v>
      </c>
      <c r="B377" s="40" t="s">
        <v>202</v>
      </c>
      <c r="C377" s="40"/>
      <c r="D377" s="19">
        <v>500</v>
      </c>
    </row>
    <row r="378" spans="1:4" ht="18" customHeight="1">
      <c r="A378" s="40" t="s">
        <v>179</v>
      </c>
      <c r="B378" s="40" t="s">
        <v>202</v>
      </c>
      <c r="C378" s="40" t="s">
        <v>446</v>
      </c>
      <c r="D378" s="19">
        <v>1000</v>
      </c>
    </row>
    <row r="379" spans="1:4" ht="18" customHeight="1">
      <c r="A379" s="40" t="s">
        <v>179</v>
      </c>
      <c r="B379" s="40" t="s">
        <v>256</v>
      </c>
      <c r="C379" s="40" t="s">
        <v>426</v>
      </c>
      <c r="D379" s="19">
        <v>4000</v>
      </c>
    </row>
    <row r="380" spans="1:4" ht="18" customHeight="1">
      <c r="A380" s="40" t="s">
        <v>179</v>
      </c>
      <c r="B380" s="40" t="s">
        <v>256</v>
      </c>
      <c r="C380" s="40" t="s">
        <v>427</v>
      </c>
      <c r="D380" s="19">
        <v>999</v>
      </c>
    </row>
    <row r="381" spans="1:4" ht="18" customHeight="1">
      <c r="A381" s="40" t="s">
        <v>179</v>
      </c>
      <c r="B381" s="40" t="s">
        <v>256</v>
      </c>
      <c r="C381" s="40" t="s">
        <v>428</v>
      </c>
      <c r="D381" s="19">
        <v>999</v>
      </c>
    </row>
    <row r="382" spans="1:4" ht="18" customHeight="1">
      <c r="A382" s="40" t="s">
        <v>179</v>
      </c>
      <c r="B382" s="40" t="s">
        <v>256</v>
      </c>
      <c r="C382" s="40" t="s">
        <v>429</v>
      </c>
      <c r="D382" s="19">
        <v>999</v>
      </c>
    </row>
    <row r="383" spans="1:4" ht="18" customHeight="1">
      <c r="A383" s="40" t="s">
        <v>179</v>
      </c>
      <c r="B383" s="40" t="s">
        <v>256</v>
      </c>
      <c r="C383" s="40" t="s">
        <v>430</v>
      </c>
      <c r="D383" s="27">
        <v>3950</v>
      </c>
    </row>
    <row r="384" spans="1:4" ht="18" customHeight="1">
      <c r="A384" s="40" t="s">
        <v>179</v>
      </c>
      <c r="B384" s="40" t="s">
        <v>256</v>
      </c>
      <c r="C384" s="40" t="s">
        <v>431</v>
      </c>
      <c r="D384" s="27">
        <v>4600</v>
      </c>
    </row>
    <row r="385" spans="1:4" ht="18" customHeight="1">
      <c r="A385" s="40" t="s">
        <v>179</v>
      </c>
      <c r="B385" s="40" t="s">
        <v>256</v>
      </c>
      <c r="C385" s="40" t="s">
        <v>432</v>
      </c>
      <c r="D385" s="19">
        <v>35000</v>
      </c>
    </row>
    <row r="386" spans="1:4" ht="18" customHeight="1">
      <c r="A386" s="40" t="s">
        <v>179</v>
      </c>
      <c r="B386" s="40" t="s">
        <v>256</v>
      </c>
      <c r="C386" s="40" t="s">
        <v>433</v>
      </c>
      <c r="D386" s="19">
        <v>15000</v>
      </c>
    </row>
    <row r="387" spans="1:4" ht="18" customHeight="1">
      <c r="A387" s="40" t="s">
        <v>179</v>
      </c>
      <c r="B387" s="40" t="s">
        <v>256</v>
      </c>
      <c r="C387" s="40" t="s">
        <v>434</v>
      </c>
      <c r="D387" s="19">
        <v>999</v>
      </c>
    </row>
    <row r="388" spans="1:4" ht="18" customHeight="1">
      <c r="A388" s="40" t="s">
        <v>179</v>
      </c>
      <c r="B388" s="40" t="s">
        <v>256</v>
      </c>
      <c r="C388" s="40" t="s">
        <v>435</v>
      </c>
      <c r="D388" s="19">
        <v>6000</v>
      </c>
    </row>
    <row r="389" spans="1:4" ht="18" customHeight="1">
      <c r="A389" s="40" t="s">
        <v>179</v>
      </c>
      <c r="B389" s="40" t="s">
        <v>256</v>
      </c>
      <c r="C389" s="40" t="s">
        <v>436</v>
      </c>
      <c r="D389" s="19">
        <v>999</v>
      </c>
    </row>
    <row r="390" spans="1:4" ht="18" customHeight="1">
      <c r="A390" s="40" t="s">
        <v>179</v>
      </c>
      <c r="B390" s="40" t="s">
        <v>256</v>
      </c>
      <c r="C390" s="40" t="s">
        <v>437</v>
      </c>
      <c r="D390" s="19">
        <v>999</v>
      </c>
    </row>
    <row r="391" spans="1:4" ht="18" customHeight="1">
      <c r="A391" s="40" t="s">
        <v>179</v>
      </c>
      <c r="B391" s="40" t="s">
        <v>256</v>
      </c>
      <c r="C391" s="40" t="s">
        <v>438</v>
      </c>
      <c r="D391" s="19">
        <v>999</v>
      </c>
    </row>
    <row r="392" spans="1:4" ht="18" customHeight="1">
      <c r="A392" s="40" t="s">
        <v>179</v>
      </c>
      <c r="B392" s="40" t="s">
        <v>256</v>
      </c>
      <c r="C392" s="40" t="s">
        <v>439</v>
      </c>
      <c r="D392" s="19">
        <v>999</v>
      </c>
    </row>
    <row r="393" spans="1:4" ht="18" customHeight="1">
      <c r="A393" s="40" t="s">
        <v>179</v>
      </c>
      <c r="B393" s="40" t="s">
        <v>256</v>
      </c>
      <c r="C393" s="40" t="s">
        <v>440</v>
      </c>
      <c r="D393" s="27">
        <v>7250</v>
      </c>
    </row>
    <row r="394" spans="1:4" ht="18" customHeight="1">
      <c r="A394" s="40" t="s">
        <v>179</v>
      </c>
      <c r="B394" s="40" t="s">
        <v>256</v>
      </c>
      <c r="C394" s="40" t="s">
        <v>441</v>
      </c>
      <c r="D394" s="27">
        <v>11500</v>
      </c>
    </row>
    <row r="395" spans="1:4" ht="18" customHeight="1">
      <c r="A395" s="40" t="s">
        <v>179</v>
      </c>
      <c r="B395" s="40" t="s">
        <v>256</v>
      </c>
      <c r="C395" s="40" t="s">
        <v>442</v>
      </c>
      <c r="D395" s="27">
        <v>5750</v>
      </c>
    </row>
    <row r="396" spans="1:4" ht="18" customHeight="1">
      <c r="A396" s="40" t="s">
        <v>179</v>
      </c>
      <c r="B396" s="40" t="s">
        <v>256</v>
      </c>
      <c r="C396" s="40" t="s">
        <v>443</v>
      </c>
      <c r="D396" s="27">
        <v>2380</v>
      </c>
    </row>
    <row r="397" spans="1:4" ht="18" customHeight="1">
      <c r="A397" s="40" t="s">
        <v>179</v>
      </c>
      <c r="B397" s="40" t="s">
        <v>256</v>
      </c>
      <c r="C397" s="40" t="s">
        <v>444</v>
      </c>
      <c r="D397" s="27">
        <v>15000</v>
      </c>
    </row>
    <row r="398" spans="1:4" ht="18" customHeight="1">
      <c r="A398" s="40" t="s">
        <v>179</v>
      </c>
      <c r="B398" s="40" t="s">
        <v>256</v>
      </c>
      <c r="C398" s="40" t="s">
        <v>445</v>
      </c>
      <c r="D398" s="27">
        <v>570</v>
      </c>
    </row>
    <row r="399" spans="1:4" ht="18" customHeight="1">
      <c r="A399" s="40" t="s">
        <v>179</v>
      </c>
      <c r="B399" s="40" t="s">
        <v>256</v>
      </c>
      <c r="C399" s="40" t="s">
        <v>446</v>
      </c>
      <c r="D399" s="27">
        <v>1000</v>
      </c>
    </row>
    <row r="400" spans="1:4" ht="18" customHeight="1">
      <c r="A400" s="40" t="s">
        <v>179</v>
      </c>
      <c r="B400" s="40" t="s">
        <v>256</v>
      </c>
      <c r="C400" s="40" t="s">
        <v>447</v>
      </c>
      <c r="D400" s="27">
        <v>800</v>
      </c>
    </row>
    <row r="401" spans="1:4" ht="18" customHeight="1">
      <c r="A401" s="40" t="s">
        <v>179</v>
      </c>
      <c r="B401" s="40" t="s">
        <v>256</v>
      </c>
      <c r="C401" s="40" t="s">
        <v>448</v>
      </c>
      <c r="D401" s="27">
        <v>3000</v>
      </c>
    </row>
    <row r="402" spans="1:4" ht="18" customHeight="1">
      <c r="A402" s="40" t="s">
        <v>179</v>
      </c>
      <c r="B402" s="40" t="s">
        <v>256</v>
      </c>
      <c r="C402" s="40" t="s">
        <v>449</v>
      </c>
      <c r="D402" s="27">
        <v>5500</v>
      </c>
    </row>
    <row r="403" spans="1:4" ht="18" customHeight="1">
      <c r="A403" s="40" t="s">
        <v>179</v>
      </c>
      <c r="B403" s="40" t="s">
        <v>256</v>
      </c>
      <c r="C403" s="40" t="s">
        <v>450</v>
      </c>
      <c r="D403" s="27">
        <v>6000</v>
      </c>
    </row>
    <row r="404" spans="1:4" ht="18" customHeight="1">
      <c r="A404" s="40" t="s">
        <v>179</v>
      </c>
      <c r="B404" s="40" t="s">
        <v>256</v>
      </c>
      <c r="C404" s="40" t="s">
        <v>451</v>
      </c>
      <c r="D404" s="27">
        <v>2000</v>
      </c>
    </row>
    <row r="405" spans="1:4" ht="18" customHeight="1">
      <c r="A405" s="40" t="s">
        <v>179</v>
      </c>
      <c r="B405" s="40" t="s">
        <v>256</v>
      </c>
      <c r="C405" s="40" t="s">
        <v>452</v>
      </c>
      <c r="D405" s="19">
        <v>30000</v>
      </c>
    </row>
    <row r="406" spans="1:4" ht="18" customHeight="1">
      <c r="A406" s="40" t="s">
        <v>179</v>
      </c>
      <c r="B406" s="40" t="s">
        <v>256</v>
      </c>
      <c r="C406" s="40" t="s">
        <v>453</v>
      </c>
      <c r="D406" s="27">
        <f>18000/15</f>
        <v>1200</v>
      </c>
    </row>
    <row r="407" spans="1:4" ht="18" customHeight="1">
      <c r="A407" s="40" t="s">
        <v>179</v>
      </c>
      <c r="B407" s="40" t="s">
        <v>256</v>
      </c>
      <c r="C407" s="40" t="s">
        <v>454</v>
      </c>
      <c r="D407" s="27">
        <f>18000/9</f>
        <v>2000</v>
      </c>
    </row>
    <row r="408" spans="1:4" ht="18" customHeight="1">
      <c r="A408" s="40" t="s">
        <v>179</v>
      </c>
      <c r="B408" s="40" t="s">
        <v>256</v>
      </c>
      <c r="C408" s="40" t="s">
        <v>455</v>
      </c>
      <c r="D408" s="19">
        <v>6000</v>
      </c>
    </row>
    <row r="409" spans="1:4" ht="18" customHeight="1">
      <c r="A409" s="40" t="s">
        <v>179</v>
      </c>
      <c r="B409" s="40" t="s">
        <v>256</v>
      </c>
      <c r="C409" s="40" t="s">
        <v>456</v>
      </c>
      <c r="D409" s="19">
        <v>100000</v>
      </c>
    </row>
    <row r="410" spans="1:4" ht="18" customHeight="1">
      <c r="A410" s="40" t="s">
        <v>179</v>
      </c>
      <c r="B410" s="40" t="s">
        <v>256</v>
      </c>
      <c r="C410" s="40" t="s">
        <v>457</v>
      </c>
      <c r="D410" s="27">
        <v>85000</v>
      </c>
    </row>
    <row r="411" spans="1:4" ht="18" customHeight="1">
      <c r="A411" s="40" t="s">
        <v>179</v>
      </c>
      <c r="B411" s="40" t="s">
        <v>256</v>
      </c>
      <c r="C411" s="40" t="s">
        <v>458</v>
      </c>
      <c r="D411" s="27">
        <v>75000</v>
      </c>
    </row>
    <row r="412" spans="1:4" ht="18" customHeight="1">
      <c r="A412" s="40" t="s">
        <v>179</v>
      </c>
      <c r="B412" s="40" t="s">
        <v>256</v>
      </c>
      <c r="C412" s="40" t="s">
        <v>459</v>
      </c>
      <c r="D412" s="27">
        <f>15000/37</f>
        <v>405.40540540540542</v>
      </c>
    </row>
    <row r="413" spans="1:4" ht="18" customHeight="1">
      <c r="A413" s="40" t="s">
        <v>179</v>
      </c>
      <c r="B413" s="40" t="s">
        <v>256</v>
      </c>
      <c r="C413" s="40" t="s">
        <v>460</v>
      </c>
      <c r="D413" s="27">
        <f>15000/16</f>
        <v>937.5</v>
      </c>
    </row>
    <row r="414" spans="1:4" ht="18" customHeight="1">
      <c r="A414" s="40" t="s">
        <v>179</v>
      </c>
      <c r="B414" s="40" t="s">
        <v>256</v>
      </c>
      <c r="C414" s="40" t="s">
        <v>461</v>
      </c>
      <c r="D414" s="27">
        <v>999</v>
      </c>
    </row>
    <row r="415" spans="1:4" ht="18" customHeight="1">
      <c r="A415" s="40" t="s">
        <v>180</v>
      </c>
      <c r="B415" s="40" t="s">
        <v>257</v>
      </c>
      <c r="C415" s="40" t="s">
        <v>462</v>
      </c>
      <c r="D415" s="27">
        <v>999</v>
      </c>
    </row>
    <row r="416" spans="1:4" ht="18" customHeight="1">
      <c r="A416" s="40" t="s">
        <v>180</v>
      </c>
      <c r="B416" s="40" t="s">
        <v>257</v>
      </c>
      <c r="C416" s="40" t="s">
        <v>463</v>
      </c>
      <c r="D416" s="27">
        <v>999</v>
      </c>
    </row>
    <row r="417" spans="1:4" ht="18" customHeight="1">
      <c r="A417" s="40" t="s">
        <v>180</v>
      </c>
      <c r="B417" s="40" t="s">
        <v>257</v>
      </c>
      <c r="C417" s="40" t="s">
        <v>464</v>
      </c>
      <c r="D417" s="19">
        <v>999</v>
      </c>
    </row>
    <row r="418" spans="1:4" ht="18" customHeight="1">
      <c r="A418" s="40" t="s">
        <v>180</v>
      </c>
      <c r="B418" s="40" t="s">
        <v>257</v>
      </c>
      <c r="C418" s="40" t="s">
        <v>465</v>
      </c>
      <c r="D418" s="19">
        <v>12000</v>
      </c>
    </row>
    <row r="419" spans="1:4" ht="18" customHeight="1">
      <c r="A419" s="40" t="s">
        <v>180</v>
      </c>
      <c r="B419" s="40" t="s">
        <v>258</v>
      </c>
      <c r="C419" s="40" t="s">
        <v>466</v>
      </c>
      <c r="D419" s="19">
        <v>4500</v>
      </c>
    </row>
    <row r="420" spans="1:4" ht="18" customHeight="1">
      <c r="A420" s="40" t="s">
        <v>180</v>
      </c>
      <c r="B420" s="40" t="s">
        <v>259</v>
      </c>
      <c r="C420" s="40" t="s">
        <v>467</v>
      </c>
      <c r="D420" s="19">
        <v>1500</v>
      </c>
    </row>
    <row r="421" spans="1:4" ht="18" customHeight="1">
      <c r="A421" s="40" t="s">
        <v>180</v>
      </c>
      <c r="B421" s="40" t="s">
        <v>260</v>
      </c>
      <c r="C421" s="40" t="s">
        <v>468</v>
      </c>
      <c r="D421" s="19">
        <v>37500</v>
      </c>
    </row>
    <row r="422" spans="1:4" ht="18" customHeight="1">
      <c r="A422" s="40" t="s">
        <v>180</v>
      </c>
      <c r="B422" s="40" t="s">
        <v>261</v>
      </c>
      <c r="C422" s="40" t="s">
        <v>469</v>
      </c>
      <c r="D422" s="19">
        <v>41500</v>
      </c>
    </row>
    <row r="423" spans="1:4" ht="18" customHeight="1">
      <c r="A423" s="40" t="s">
        <v>180</v>
      </c>
      <c r="B423" s="40" t="s">
        <v>262</v>
      </c>
      <c r="C423" s="40" t="s">
        <v>470</v>
      </c>
      <c r="D423" s="19">
        <v>45500</v>
      </c>
    </row>
    <row r="424" spans="1:4" ht="18" customHeight="1">
      <c r="A424" s="40" t="s">
        <v>180</v>
      </c>
      <c r="B424" s="40" t="s">
        <v>263</v>
      </c>
      <c r="C424" s="40"/>
      <c r="D424" s="19">
        <v>49500</v>
      </c>
    </row>
    <row r="425" spans="1:4" ht="18" customHeight="1">
      <c r="A425" s="40" t="s">
        <v>180</v>
      </c>
      <c r="B425" s="40" t="s">
        <v>264</v>
      </c>
      <c r="C425" s="40"/>
      <c r="D425" s="19">
        <v>55500</v>
      </c>
    </row>
    <row r="426" spans="1:4" ht="18" customHeight="1">
      <c r="A426" s="40" t="s">
        <v>180</v>
      </c>
      <c r="B426" s="40" t="s">
        <v>265</v>
      </c>
      <c r="C426" s="40" t="s">
        <v>471</v>
      </c>
      <c r="D426" s="19">
        <v>58500</v>
      </c>
    </row>
    <row r="427" spans="1:4" ht="18" customHeight="1">
      <c r="A427" s="40" t="s">
        <v>180</v>
      </c>
      <c r="B427" s="40" t="s">
        <v>266</v>
      </c>
      <c r="C427" s="40" t="s">
        <v>462</v>
      </c>
      <c r="D427" s="19">
        <v>61500</v>
      </c>
    </row>
    <row r="428" spans="1:4" ht="18" customHeight="1">
      <c r="A428" s="40" t="s">
        <v>181</v>
      </c>
      <c r="B428" s="40" t="s">
        <v>267</v>
      </c>
      <c r="C428" s="40" t="s">
        <v>472</v>
      </c>
      <c r="D428" s="19">
        <v>66500</v>
      </c>
    </row>
    <row r="429" spans="1:4" ht="18" customHeight="1">
      <c r="A429" s="40" t="s">
        <v>181</v>
      </c>
      <c r="B429" s="40" t="s">
        <v>268</v>
      </c>
      <c r="C429" s="40" t="s">
        <v>473</v>
      </c>
      <c r="D429" s="19">
        <v>3000</v>
      </c>
    </row>
    <row r="430" spans="1:4" ht="18" customHeight="1">
      <c r="A430" s="40" t="s">
        <v>154</v>
      </c>
      <c r="B430" s="40" t="s">
        <v>269</v>
      </c>
      <c r="C430" s="40" t="s">
        <v>474</v>
      </c>
      <c r="D430" s="19">
        <v>500</v>
      </c>
    </row>
    <row r="431" spans="1:4" ht="18" customHeight="1">
      <c r="A431" s="40" t="s">
        <v>154</v>
      </c>
      <c r="B431" s="40"/>
      <c r="C431" s="40" t="s">
        <v>475</v>
      </c>
      <c r="D431" s="19">
        <v>49500</v>
      </c>
    </row>
    <row r="432" spans="1:4" ht="18" customHeight="1">
      <c r="A432" s="40" t="s">
        <v>154</v>
      </c>
      <c r="B432" s="40"/>
      <c r="C432" s="40" t="s">
        <v>476</v>
      </c>
      <c r="D432" s="19">
        <v>65000</v>
      </c>
    </row>
    <row r="433" spans="1:5" ht="18" customHeight="1">
      <c r="A433" s="40" t="s">
        <v>154</v>
      </c>
      <c r="B433" s="40"/>
      <c r="C433" s="40" t="s">
        <v>477</v>
      </c>
      <c r="D433" s="19">
        <v>65000</v>
      </c>
    </row>
    <row r="434" spans="1:5" ht="18" customHeight="1">
      <c r="A434" s="40" t="s">
        <v>154</v>
      </c>
      <c r="B434" s="40"/>
      <c r="C434" s="40" t="s">
        <v>478</v>
      </c>
      <c r="D434" s="19">
        <v>49500</v>
      </c>
    </row>
    <row r="435" spans="1:5" ht="18" customHeight="1">
      <c r="A435" s="40" t="s">
        <v>154</v>
      </c>
      <c r="B435" s="40"/>
      <c r="C435" s="40" t="s">
        <v>479</v>
      </c>
      <c r="D435" s="19">
        <v>25000</v>
      </c>
    </row>
    <row r="436" spans="1:5" ht="18" customHeight="1">
      <c r="A436" s="40" t="s">
        <v>154</v>
      </c>
      <c r="B436" s="40" t="s">
        <v>156</v>
      </c>
      <c r="C436" s="40"/>
      <c r="D436" s="27">
        <v>89000</v>
      </c>
    </row>
    <row r="437" spans="1:5" ht="18" customHeight="1">
      <c r="A437" s="40" t="s">
        <v>154</v>
      </c>
      <c r="B437" s="40" t="s">
        <v>152</v>
      </c>
      <c r="C437" s="40" t="s">
        <v>480</v>
      </c>
      <c r="D437" s="27">
        <v>83000</v>
      </c>
    </row>
    <row r="438" spans="1:5" ht="18" customHeight="1">
      <c r="A438" s="40" t="s">
        <v>154</v>
      </c>
      <c r="B438" s="40" t="s">
        <v>152</v>
      </c>
      <c r="C438" s="40" t="s">
        <v>481</v>
      </c>
      <c r="D438" s="19">
        <v>999</v>
      </c>
    </row>
    <row r="439" spans="1:5" ht="18" customHeight="1">
      <c r="A439" s="40" t="s">
        <v>154</v>
      </c>
      <c r="B439" s="40" t="s">
        <v>270</v>
      </c>
      <c r="C439" s="40"/>
      <c r="D439" s="27">
        <v>25500</v>
      </c>
    </row>
    <row r="440" spans="1:5" ht="18" customHeight="1">
      <c r="A440" s="40" t="s">
        <v>154</v>
      </c>
      <c r="B440" s="40"/>
      <c r="C440" s="40" t="s">
        <v>479</v>
      </c>
      <c r="D440" s="27">
        <v>39000</v>
      </c>
      <c r="E440" s="27"/>
    </row>
    <row r="441" spans="1:5" ht="18" customHeight="1">
      <c r="A441" s="40" t="s">
        <v>154</v>
      </c>
      <c r="B441" s="40"/>
      <c r="C441" s="40" t="s">
        <v>482</v>
      </c>
      <c r="D441" s="27">
        <v>40900</v>
      </c>
      <c r="E441" s="27"/>
    </row>
    <row r="442" spans="1:5" ht="18" customHeight="1">
      <c r="A442" s="40" t="s">
        <v>154</v>
      </c>
      <c r="B442" s="40"/>
      <c r="C442" s="40" t="s">
        <v>483</v>
      </c>
      <c r="D442" s="27">
        <v>9900</v>
      </c>
    </row>
    <row r="443" spans="1:5" ht="18" customHeight="1">
      <c r="A443" s="40" t="s">
        <v>154</v>
      </c>
      <c r="B443" s="40"/>
      <c r="C443" s="40" t="s">
        <v>484</v>
      </c>
      <c r="D443" s="27">
        <v>7900</v>
      </c>
    </row>
    <row r="444" spans="1:5" ht="18" customHeight="1">
      <c r="A444" s="40" t="s">
        <v>154</v>
      </c>
      <c r="B444" s="40" t="s">
        <v>153</v>
      </c>
      <c r="C444" s="40"/>
      <c r="D444" s="27">
        <v>25500</v>
      </c>
      <c r="E444" s="27"/>
    </row>
    <row r="445" spans="1:5" ht="18" customHeight="1">
      <c r="A445" s="40" t="s">
        <v>154</v>
      </c>
      <c r="B445" s="40" t="s">
        <v>153</v>
      </c>
      <c r="C445" s="40" t="s">
        <v>482</v>
      </c>
      <c r="D445" s="27">
        <v>40900</v>
      </c>
    </row>
    <row r="446" spans="1:5" ht="18" customHeight="1">
      <c r="A446" s="40" t="s">
        <v>154</v>
      </c>
      <c r="B446" s="40" t="s">
        <v>271</v>
      </c>
      <c r="C446" s="40"/>
      <c r="D446" s="27">
        <v>9900</v>
      </c>
    </row>
    <row r="447" spans="1:5" ht="18" customHeight="1">
      <c r="A447" s="40" t="s">
        <v>154</v>
      </c>
      <c r="B447" s="40" t="s">
        <v>272</v>
      </c>
      <c r="C447" s="40"/>
      <c r="D447" s="27">
        <v>6400</v>
      </c>
    </row>
    <row r="448" spans="1:5" ht="18" customHeight="1">
      <c r="A448" s="40" t="s">
        <v>154</v>
      </c>
      <c r="B448" s="40" t="s">
        <v>273</v>
      </c>
      <c r="C448" s="40"/>
      <c r="D448" s="19">
        <v>5000</v>
      </c>
    </row>
    <row r="449" spans="1:5" ht="18" customHeight="1">
      <c r="A449" s="40" t="s">
        <v>154</v>
      </c>
      <c r="B449" s="40" t="s">
        <v>274</v>
      </c>
      <c r="C449" s="40"/>
      <c r="D449" s="19">
        <v>1000</v>
      </c>
    </row>
    <row r="450" spans="1:5" ht="18" customHeight="1">
      <c r="A450" s="40" t="s">
        <v>154</v>
      </c>
      <c r="B450" s="40" t="s">
        <v>275</v>
      </c>
      <c r="C450" s="40"/>
      <c r="D450" s="27">
        <v>38900</v>
      </c>
      <c r="E450" s="27"/>
    </row>
    <row r="451" spans="1:5" ht="18" customHeight="1">
      <c r="A451" s="40" t="s">
        <v>154</v>
      </c>
      <c r="B451" s="40" t="s">
        <v>276</v>
      </c>
      <c r="C451" s="40"/>
      <c r="D451" s="27">
        <v>40800</v>
      </c>
      <c r="E451" s="27"/>
    </row>
    <row r="452" spans="1:5" ht="18" customHeight="1">
      <c r="A452" s="40" t="s">
        <v>154</v>
      </c>
      <c r="B452" s="40" t="s">
        <v>269</v>
      </c>
      <c r="C452" s="40"/>
      <c r="D452" s="27">
        <v>12000</v>
      </c>
    </row>
    <row r="453" spans="1:5" ht="18" customHeight="1">
      <c r="A453" s="40" t="s">
        <v>154</v>
      </c>
      <c r="B453" s="40"/>
      <c r="C453" s="40" t="s">
        <v>480</v>
      </c>
      <c r="D453" s="19">
        <v>999</v>
      </c>
    </row>
    <row r="454" spans="1:5" ht="18" customHeight="1">
      <c r="A454" s="40" t="s">
        <v>154</v>
      </c>
      <c r="B454" s="40"/>
      <c r="C454" s="40" t="s">
        <v>481</v>
      </c>
      <c r="D454" s="19">
        <v>999</v>
      </c>
    </row>
    <row r="455" spans="1:5" ht="18" customHeight="1">
      <c r="A455" s="40" t="s">
        <v>154</v>
      </c>
      <c r="B455" s="40" t="s">
        <v>271</v>
      </c>
      <c r="C455" s="40" t="s">
        <v>485</v>
      </c>
      <c r="D455" s="19">
        <v>999</v>
      </c>
    </row>
    <row r="456" spans="1:5" ht="18" customHeight="1">
      <c r="A456" s="40" t="s">
        <v>154</v>
      </c>
      <c r="B456" s="40" t="s">
        <v>272</v>
      </c>
      <c r="C456" s="40" t="s">
        <v>405</v>
      </c>
      <c r="D456" s="19">
        <v>999</v>
      </c>
    </row>
    <row r="457" spans="1:5" ht="18" customHeight="1">
      <c r="A457" s="40" t="s">
        <v>154</v>
      </c>
      <c r="B457" s="40"/>
      <c r="C457" s="40" t="s">
        <v>486</v>
      </c>
      <c r="D457" s="19">
        <v>58500</v>
      </c>
    </row>
    <row r="458" spans="1:5" ht="18" customHeight="1">
      <c r="A458" s="40" t="s">
        <v>154</v>
      </c>
      <c r="B458" s="40"/>
      <c r="C458" s="40" t="s">
        <v>487</v>
      </c>
      <c r="D458" s="19">
        <v>150000</v>
      </c>
    </row>
    <row r="459" spans="1:5" ht="18" customHeight="1">
      <c r="A459" s="40" t="s">
        <v>154</v>
      </c>
      <c r="B459" s="40"/>
      <c r="C459" s="40" t="s">
        <v>488</v>
      </c>
      <c r="D459" s="19">
        <v>15000</v>
      </c>
    </row>
    <row r="460" spans="1:5" ht="18" customHeight="1">
      <c r="A460" s="40" t="s">
        <v>154</v>
      </c>
      <c r="B460" s="40"/>
      <c r="C460" s="40" t="s">
        <v>489</v>
      </c>
      <c r="D460" s="27">
        <v>9500</v>
      </c>
      <c r="E460" s="27"/>
    </row>
    <row r="461" spans="1:5" ht="18" customHeight="1">
      <c r="A461" s="40" t="s">
        <v>154</v>
      </c>
      <c r="B461" s="40"/>
      <c r="C461" s="40" t="s">
        <v>477</v>
      </c>
      <c r="D461" s="27">
        <v>11000</v>
      </c>
      <c r="E461" s="27"/>
    </row>
    <row r="462" spans="1:5" ht="18" customHeight="1">
      <c r="A462" s="40" t="s">
        <v>154</v>
      </c>
      <c r="B462" s="40"/>
      <c r="C462" s="40" t="s">
        <v>490</v>
      </c>
      <c r="D462" s="19">
        <v>999</v>
      </c>
    </row>
    <row r="463" spans="1:5" ht="18" customHeight="1">
      <c r="A463" s="40" t="s">
        <v>154</v>
      </c>
      <c r="B463" s="40"/>
      <c r="C463" s="40" t="s">
        <v>491</v>
      </c>
      <c r="D463" s="27">
        <v>10200</v>
      </c>
      <c r="E463" s="27"/>
    </row>
    <row r="464" spans="1:5" ht="18" customHeight="1">
      <c r="A464" s="40" t="s">
        <v>154</v>
      </c>
      <c r="B464" s="40"/>
      <c r="C464" s="40" t="s">
        <v>492</v>
      </c>
      <c r="D464" s="27">
        <v>11000</v>
      </c>
      <c r="E464" s="27"/>
    </row>
    <row r="465" spans="1:5" ht="18" customHeight="1">
      <c r="A465" s="40" t="s">
        <v>154</v>
      </c>
      <c r="B465" s="40"/>
      <c r="C465" s="40" t="s">
        <v>493</v>
      </c>
      <c r="D465" s="27">
        <v>11000</v>
      </c>
      <c r="E465" s="27"/>
    </row>
    <row r="466" spans="1:5" ht="18" customHeight="1">
      <c r="A466" s="40" t="s">
        <v>154</v>
      </c>
      <c r="B466" s="40"/>
      <c r="C466" s="40" t="s">
        <v>494</v>
      </c>
      <c r="D466" s="19">
        <v>999</v>
      </c>
    </row>
    <row r="467" spans="1:5" ht="18" customHeight="1">
      <c r="A467" s="40" t="s">
        <v>154</v>
      </c>
      <c r="B467" s="40"/>
      <c r="C467" s="40" t="s">
        <v>495</v>
      </c>
      <c r="D467" s="19">
        <v>999</v>
      </c>
    </row>
    <row r="468" spans="1:5" ht="18" customHeight="1">
      <c r="A468" s="40" t="s">
        <v>154</v>
      </c>
      <c r="B468" s="40"/>
      <c r="C468" s="40" t="s">
        <v>496</v>
      </c>
      <c r="D468" s="19">
        <v>999</v>
      </c>
    </row>
    <row r="469" spans="1:5" ht="18" customHeight="1">
      <c r="A469" s="40" t="s">
        <v>154</v>
      </c>
      <c r="B469" s="40"/>
      <c r="C469" s="40" t="s">
        <v>497</v>
      </c>
      <c r="D469" s="27">
        <v>44000</v>
      </c>
    </row>
    <row r="470" spans="1:5" ht="18" customHeight="1">
      <c r="A470" s="40" t="s">
        <v>154</v>
      </c>
      <c r="B470" s="40"/>
      <c r="C470" s="40" t="s">
        <v>498</v>
      </c>
      <c r="D470" s="27">
        <v>20000</v>
      </c>
    </row>
    <row r="471" spans="1:5" ht="18" customHeight="1">
      <c r="A471" s="40" t="s">
        <v>154</v>
      </c>
      <c r="B471" s="40"/>
      <c r="C471" s="40" t="s">
        <v>499</v>
      </c>
      <c r="D471" s="27">
        <v>74000</v>
      </c>
    </row>
    <row r="472" spans="1:5" ht="18" customHeight="1">
      <c r="A472" s="40" t="s">
        <v>154</v>
      </c>
      <c r="B472" s="40"/>
      <c r="C472" s="40" t="s">
        <v>500</v>
      </c>
      <c r="D472" s="19">
        <v>999</v>
      </c>
    </row>
    <row r="473" spans="1:5" ht="18" customHeight="1">
      <c r="A473" s="40" t="s">
        <v>154</v>
      </c>
      <c r="B473" s="40"/>
      <c r="C473" s="40" t="s">
        <v>501</v>
      </c>
      <c r="D473" s="19">
        <v>999</v>
      </c>
    </row>
    <row r="474" spans="1:5" ht="18" customHeight="1">
      <c r="A474" s="40" t="s">
        <v>154</v>
      </c>
      <c r="B474" s="40"/>
      <c r="C474" s="40" t="s">
        <v>502</v>
      </c>
      <c r="D474" s="19">
        <v>999</v>
      </c>
    </row>
    <row r="475" spans="1:5" ht="18" customHeight="1">
      <c r="A475" s="40" t="s">
        <v>154</v>
      </c>
      <c r="B475" s="40"/>
      <c r="C475" s="40" t="s">
        <v>503</v>
      </c>
      <c r="D475" s="19">
        <v>999</v>
      </c>
    </row>
    <row r="476" spans="1:5" ht="18" customHeight="1">
      <c r="A476" s="40" t="s">
        <v>154</v>
      </c>
      <c r="B476" s="40"/>
      <c r="C476" s="40" t="s">
        <v>504</v>
      </c>
      <c r="D476" s="19">
        <v>999</v>
      </c>
    </row>
    <row r="477" spans="1:5" ht="18" customHeight="1">
      <c r="A477" s="40" t="s">
        <v>154</v>
      </c>
      <c r="B477" s="40"/>
      <c r="C477" s="40" t="s">
        <v>505</v>
      </c>
      <c r="D477" s="19">
        <v>999</v>
      </c>
    </row>
    <row r="478" spans="1:5" ht="18" customHeight="1">
      <c r="A478" s="40" t="s">
        <v>154</v>
      </c>
      <c r="B478" s="40"/>
      <c r="C478" s="40" t="s">
        <v>506</v>
      </c>
      <c r="D478" s="19">
        <v>999</v>
      </c>
    </row>
    <row r="479" spans="1:5" ht="18" customHeight="1">
      <c r="A479" s="40" t="s">
        <v>182</v>
      </c>
      <c r="B479" s="40" t="s">
        <v>277</v>
      </c>
      <c r="C479" s="40" t="s">
        <v>507</v>
      </c>
      <c r="D479" s="19">
        <v>999</v>
      </c>
    </row>
    <row r="480" spans="1:5" ht="18" customHeight="1">
      <c r="A480" s="40" t="s">
        <v>182</v>
      </c>
      <c r="B480" s="40" t="s">
        <v>278</v>
      </c>
      <c r="C480" s="40" t="s">
        <v>508</v>
      </c>
      <c r="D480" s="19">
        <v>999</v>
      </c>
    </row>
    <row r="481" spans="1:4" ht="18" customHeight="1">
      <c r="A481" s="40" t="s">
        <v>182</v>
      </c>
      <c r="B481" s="40" t="s">
        <v>278</v>
      </c>
      <c r="C481" s="40" t="s">
        <v>509</v>
      </c>
      <c r="D481" s="19">
        <v>10000</v>
      </c>
    </row>
    <row r="482" spans="1:4" ht="18" customHeight="1">
      <c r="A482" s="40" t="s">
        <v>182</v>
      </c>
      <c r="B482" s="40" t="s">
        <v>278</v>
      </c>
      <c r="C482" s="40" t="s">
        <v>510</v>
      </c>
      <c r="D482" s="19">
        <v>6000</v>
      </c>
    </row>
    <row r="483" spans="1:4" ht="18" customHeight="1">
      <c r="A483" s="40" t="s">
        <v>182</v>
      </c>
      <c r="B483" s="40" t="s">
        <v>279</v>
      </c>
      <c r="C483" s="40" t="s">
        <v>508</v>
      </c>
      <c r="D483" s="19">
        <v>3000</v>
      </c>
    </row>
    <row r="484" spans="1:4" ht="18" customHeight="1">
      <c r="A484" s="40" t="s">
        <v>182</v>
      </c>
      <c r="B484" s="40" t="s">
        <v>279</v>
      </c>
      <c r="C484" s="40" t="s">
        <v>511</v>
      </c>
      <c r="D484" s="19">
        <v>3000</v>
      </c>
    </row>
    <row r="485" spans="1:4" ht="18" customHeight="1">
      <c r="A485" s="40" t="s">
        <v>182</v>
      </c>
      <c r="B485" s="40" t="s">
        <v>280</v>
      </c>
      <c r="C485" s="40" t="s">
        <v>512</v>
      </c>
      <c r="D485" s="19">
        <v>3000</v>
      </c>
    </row>
    <row r="486" spans="1:4" ht="18" customHeight="1">
      <c r="A486" s="40" t="s">
        <v>182</v>
      </c>
      <c r="B486" s="40" t="s">
        <v>281</v>
      </c>
      <c r="C486" s="40" t="s">
        <v>513</v>
      </c>
      <c r="D486" s="19">
        <v>8000</v>
      </c>
    </row>
    <row r="487" spans="1:4" ht="18" customHeight="1">
      <c r="A487" s="40" t="s">
        <v>182</v>
      </c>
      <c r="B487" s="40" t="s">
        <v>281</v>
      </c>
      <c r="C487" s="40" t="s">
        <v>514</v>
      </c>
      <c r="D487" s="19">
        <v>1400</v>
      </c>
    </row>
    <row r="488" spans="1:4" ht="18" customHeight="1">
      <c r="A488" s="40" t="s">
        <v>182</v>
      </c>
      <c r="B488" s="40" t="s">
        <v>281</v>
      </c>
      <c r="C488" s="40" t="s">
        <v>515</v>
      </c>
      <c r="D488" s="19">
        <v>999</v>
      </c>
    </row>
    <row r="489" spans="1:4" ht="18" customHeight="1">
      <c r="A489" s="40" t="s">
        <v>182</v>
      </c>
      <c r="B489" s="40" t="s">
        <v>281</v>
      </c>
      <c r="C489" s="40" t="s">
        <v>516</v>
      </c>
      <c r="D489" s="19">
        <v>999</v>
      </c>
    </row>
    <row r="490" spans="1:4" ht="18" customHeight="1">
      <c r="A490" s="40" t="s">
        <v>182</v>
      </c>
      <c r="B490" s="40" t="s">
        <v>281</v>
      </c>
      <c r="C490" s="40" t="s">
        <v>517</v>
      </c>
      <c r="D490" s="19">
        <v>1000</v>
      </c>
    </row>
    <row r="491" spans="1:4" ht="18" customHeight="1">
      <c r="A491" s="40" t="s">
        <v>182</v>
      </c>
      <c r="B491" s="40" t="s">
        <v>281</v>
      </c>
      <c r="C491" s="40" t="s">
        <v>518</v>
      </c>
      <c r="D491" s="19">
        <v>2500</v>
      </c>
    </row>
    <row r="492" spans="1:4" ht="18" customHeight="1">
      <c r="A492" s="40" t="s">
        <v>182</v>
      </c>
      <c r="B492" s="40" t="s">
        <v>281</v>
      </c>
      <c r="C492" s="40" t="s">
        <v>519</v>
      </c>
      <c r="D492" s="19">
        <v>2000</v>
      </c>
    </row>
    <row r="493" spans="1:4" ht="18" customHeight="1">
      <c r="A493" s="40" t="s">
        <v>182</v>
      </c>
      <c r="B493" s="40" t="s">
        <v>281</v>
      </c>
      <c r="C493" s="40" t="s">
        <v>520</v>
      </c>
      <c r="D493" s="19">
        <v>3000</v>
      </c>
    </row>
    <row r="494" spans="1:4" ht="18" customHeight="1">
      <c r="A494" s="40" t="s">
        <v>182</v>
      </c>
      <c r="B494" s="40" t="s">
        <v>281</v>
      </c>
      <c r="C494" s="40" t="s">
        <v>521</v>
      </c>
      <c r="D494" s="19">
        <v>2000</v>
      </c>
    </row>
    <row r="495" spans="1:4" ht="18" customHeight="1">
      <c r="A495" s="40" t="s">
        <v>182</v>
      </c>
      <c r="B495" s="40" t="s">
        <v>282</v>
      </c>
      <c r="C495" s="40" t="s">
        <v>470</v>
      </c>
      <c r="D495" s="19">
        <v>3000</v>
      </c>
    </row>
    <row r="496" spans="1:4" ht="18" customHeight="1">
      <c r="A496" s="40" t="s">
        <v>182</v>
      </c>
      <c r="B496" s="40" t="s">
        <v>283</v>
      </c>
      <c r="C496" s="40" t="s">
        <v>522</v>
      </c>
      <c r="D496" s="19">
        <v>999</v>
      </c>
    </row>
    <row r="497" spans="1:4" ht="18" customHeight="1">
      <c r="A497" s="40" t="s">
        <v>182</v>
      </c>
      <c r="B497" s="40" t="s">
        <v>284</v>
      </c>
      <c r="C497" s="40"/>
      <c r="D497" s="19">
        <v>8000</v>
      </c>
    </row>
    <row r="498" spans="1:4" ht="18" customHeight="1">
      <c r="A498" s="40" t="s">
        <v>182</v>
      </c>
      <c r="B498" s="40" t="s">
        <v>285</v>
      </c>
      <c r="C498" s="40" t="s">
        <v>523</v>
      </c>
      <c r="D498" s="19">
        <v>1500</v>
      </c>
    </row>
    <row r="499" spans="1:4" ht="18" customHeight="1">
      <c r="A499" s="40" t="s">
        <v>182</v>
      </c>
      <c r="B499" s="40" t="s">
        <v>285</v>
      </c>
      <c r="C499" s="40" t="s">
        <v>524</v>
      </c>
      <c r="D499" s="19">
        <v>2000</v>
      </c>
    </row>
    <row r="500" spans="1:4" ht="18" customHeight="1">
      <c r="A500" s="40" t="s">
        <v>183</v>
      </c>
      <c r="B500" s="40" t="s">
        <v>286</v>
      </c>
      <c r="C500" s="40" t="s">
        <v>525</v>
      </c>
      <c r="D500" s="19">
        <v>3150</v>
      </c>
    </row>
    <row r="501" spans="1:4" ht="18" customHeight="1">
      <c r="A501" s="40" t="s">
        <v>183</v>
      </c>
      <c r="B501" s="40" t="s">
        <v>287</v>
      </c>
      <c r="C501" s="40" t="s">
        <v>526</v>
      </c>
      <c r="D501" s="19">
        <v>500</v>
      </c>
    </row>
    <row r="502" spans="1:4" ht="18" customHeight="1">
      <c r="A502" s="40" t="s">
        <v>183</v>
      </c>
      <c r="B502" s="40" t="s">
        <v>288</v>
      </c>
      <c r="C502" s="40" t="s">
        <v>527</v>
      </c>
      <c r="D502" s="19">
        <v>1000</v>
      </c>
    </row>
    <row r="503" spans="1:4" ht="18" customHeight="1">
      <c r="A503" s="40" t="s">
        <v>183</v>
      </c>
      <c r="B503" s="40" t="s">
        <v>289</v>
      </c>
      <c r="C503" s="40"/>
      <c r="D503" s="19">
        <v>4000</v>
      </c>
    </row>
    <row r="504" spans="1:4" ht="18" customHeight="1">
      <c r="A504" s="40" t="s">
        <v>183</v>
      </c>
      <c r="B504" s="40" t="s">
        <v>290</v>
      </c>
      <c r="C504" s="40"/>
      <c r="D504" s="19">
        <v>999</v>
      </c>
    </row>
    <row r="505" spans="1:4" ht="18" customHeight="1">
      <c r="A505" s="40" t="s">
        <v>184</v>
      </c>
      <c r="B505" s="40" t="s">
        <v>184</v>
      </c>
      <c r="C505" s="40" t="s">
        <v>528</v>
      </c>
      <c r="D505" s="19">
        <v>999</v>
      </c>
    </row>
    <row r="506" spans="1:4" ht="18" customHeight="1">
      <c r="A506" s="40" t="s">
        <v>185</v>
      </c>
      <c r="B506" s="40" t="s">
        <v>291</v>
      </c>
      <c r="C506" s="40" t="s">
        <v>529</v>
      </c>
      <c r="D506" s="19">
        <v>999</v>
      </c>
    </row>
    <row r="507" spans="1:4" ht="18" customHeight="1">
      <c r="A507" s="40" t="s">
        <v>186</v>
      </c>
      <c r="B507" s="40" t="s">
        <v>292</v>
      </c>
      <c r="C507" s="40"/>
      <c r="D507" s="27">
        <v>3950</v>
      </c>
    </row>
    <row r="508" spans="1:4" ht="18" customHeight="1">
      <c r="A508" s="40" t="s">
        <v>186</v>
      </c>
      <c r="B508" s="40" t="s">
        <v>281</v>
      </c>
      <c r="C508" s="40"/>
      <c r="D508" s="27">
        <v>4600</v>
      </c>
    </row>
    <row r="509" spans="1:4" ht="18" customHeight="1">
      <c r="A509" s="40" t="s">
        <v>186</v>
      </c>
      <c r="B509" s="40" t="s">
        <v>281</v>
      </c>
      <c r="C509" s="40" t="s">
        <v>530</v>
      </c>
      <c r="D509" s="19">
        <v>35000</v>
      </c>
    </row>
    <row r="510" spans="1:4" ht="18" customHeight="1">
      <c r="A510" s="40" t="s">
        <v>186</v>
      </c>
      <c r="B510" s="40" t="s">
        <v>145</v>
      </c>
      <c r="C510" s="40"/>
      <c r="D510" s="19">
        <v>15000</v>
      </c>
    </row>
    <row r="511" spans="1:4" ht="18" customHeight="1">
      <c r="A511" s="40" t="s">
        <v>186</v>
      </c>
      <c r="B511" s="40" t="s">
        <v>293</v>
      </c>
      <c r="C511" s="40"/>
      <c r="D511" s="19">
        <v>999</v>
      </c>
    </row>
    <row r="512" spans="1:4" ht="18" customHeight="1">
      <c r="A512" s="40" t="s">
        <v>186</v>
      </c>
      <c r="B512" s="40" t="s">
        <v>294</v>
      </c>
      <c r="C512" s="40"/>
      <c r="D512" s="19">
        <v>6000</v>
      </c>
    </row>
    <row r="513" spans="1:4" ht="18" customHeight="1">
      <c r="A513" s="40" t="s">
        <v>186</v>
      </c>
      <c r="B513" s="40" t="s">
        <v>278</v>
      </c>
      <c r="C513" s="40" t="s">
        <v>531</v>
      </c>
      <c r="D513" s="19">
        <v>999</v>
      </c>
    </row>
    <row r="514" spans="1:4" ht="18" customHeight="1">
      <c r="A514" s="40" t="s">
        <v>186</v>
      </c>
      <c r="B514" s="40" t="s">
        <v>278</v>
      </c>
      <c r="C514" s="40" t="s">
        <v>532</v>
      </c>
      <c r="D514" s="19">
        <v>999</v>
      </c>
    </row>
    <row r="515" spans="1:4" ht="18" customHeight="1">
      <c r="A515" s="40" t="s">
        <v>186</v>
      </c>
      <c r="B515" s="40" t="s">
        <v>295</v>
      </c>
      <c r="C515" s="40" t="s">
        <v>524</v>
      </c>
      <c r="D515" s="19">
        <v>999</v>
      </c>
    </row>
    <row r="516" spans="1:4" ht="18" customHeight="1">
      <c r="A516" s="40" t="s">
        <v>186</v>
      </c>
      <c r="B516" s="40" t="s">
        <v>296</v>
      </c>
      <c r="C516" s="40"/>
      <c r="D516" s="19">
        <v>999</v>
      </c>
    </row>
    <row r="517" spans="1:4" ht="18" customHeight="1">
      <c r="A517" s="40" t="s">
        <v>186</v>
      </c>
      <c r="B517" s="40" t="s">
        <v>297</v>
      </c>
      <c r="C517" s="40"/>
      <c r="D517" s="27">
        <v>7250</v>
      </c>
    </row>
    <row r="518" spans="1:4" ht="18" customHeight="1">
      <c r="A518" s="40" t="s">
        <v>186</v>
      </c>
      <c r="B518" s="40" t="s">
        <v>298</v>
      </c>
      <c r="C518" s="40"/>
      <c r="D518" s="27">
        <v>11500</v>
      </c>
    </row>
    <row r="519" spans="1:4" ht="18" customHeight="1">
      <c r="A519" s="40" t="s">
        <v>186</v>
      </c>
      <c r="B519" s="40" t="s">
        <v>299</v>
      </c>
      <c r="C519" s="40" t="s">
        <v>533</v>
      </c>
      <c r="D519" s="27">
        <v>5750</v>
      </c>
    </row>
    <row r="520" spans="1:4" ht="18" customHeight="1">
      <c r="A520" s="40" t="s">
        <v>186</v>
      </c>
      <c r="B520" s="40" t="s">
        <v>299</v>
      </c>
      <c r="C520" s="40" t="s">
        <v>534</v>
      </c>
      <c r="D520" s="27">
        <v>2380</v>
      </c>
    </row>
    <row r="521" spans="1:4" ht="18" customHeight="1">
      <c r="A521" s="40" t="s">
        <v>186</v>
      </c>
      <c r="B521" s="40" t="s">
        <v>284</v>
      </c>
      <c r="C521" s="40" t="s">
        <v>535</v>
      </c>
      <c r="D521" s="27">
        <v>15000</v>
      </c>
    </row>
    <row r="522" spans="1:4" ht="18" customHeight="1">
      <c r="A522" s="40" t="s">
        <v>186</v>
      </c>
      <c r="B522" s="40" t="s">
        <v>300</v>
      </c>
      <c r="C522" s="40"/>
      <c r="D522" s="27">
        <v>570</v>
      </c>
    </row>
    <row r="523" spans="1:4" ht="18" customHeight="1">
      <c r="A523" s="40" t="s">
        <v>186</v>
      </c>
      <c r="B523" s="40" t="s">
        <v>301</v>
      </c>
      <c r="C523" s="40"/>
      <c r="D523" s="27">
        <v>1000</v>
      </c>
    </row>
    <row r="524" spans="1:4" ht="18" customHeight="1">
      <c r="A524" s="40" t="s">
        <v>186</v>
      </c>
      <c r="B524" s="40" t="s">
        <v>302</v>
      </c>
      <c r="C524" s="40"/>
      <c r="D524" s="27">
        <v>800</v>
      </c>
    </row>
    <row r="525" spans="1:4" ht="18" customHeight="1">
      <c r="A525" s="40" t="s">
        <v>186</v>
      </c>
      <c r="B525" s="40" t="s">
        <v>184</v>
      </c>
      <c r="C525" s="40" t="s">
        <v>536</v>
      </c>
      <c r="D525" s="27">
        <v>3000</v>
      </c>
    </row>
    <row r="526" spans="1:4" ht="18" customHeight="1">
      <c r="A526" s="40" t="s">
        <v>186</v>
      </c>
      <c r="B526" s="40" t="s">
        <v>303</v>
      </c>
      <c r="C526" s="40"/>
      <c r="D526" s="27">
        <v>5500</v>
      </c>
    </row>
    <row r="527" spans="1:4" ht="18" customHeight="1">
      <c r="A527" s="40" t="s">
        <v>186</v>
      </c>
      <c r="B527" s="40" t="s">
        <v>304</v>
      </c>
      <c r="C527" s="40" t="s">
        <v>537</v>
      </c>
      <c r="D527" s="27">
        <v>6000</v>
      </c>
    </row>
    <row r="528" spans="1:4" ht="18" customHeight="1">
      <c r="A528" s="40" t="s">
        <v>186</v>
      </c>
      <c r="B528" s="40" t="s">
        <v>304</v>
      </c>
      <c r="C528" s="40" t="s">
        <v>538</v>
      </c>
      <c r="D528" s="27">
        <v>2000</v>
      </c>
    </row>
    <row r="529" spans="1:4" ht="18" customHeight="1">
      <c r="A529" s="40" t="s">
        <v>186</v>
      </c>
      <c r="B529" s="40" t="s">
        <v>305</v>
      </c>
      <c r="C529" s="40"/>
      <c r="D529" s="19">
        <v>30000</v>
      </c>
    </row>
    <row r="530" spans="1:4" ht="18" customHeight="1">
      <c r="A530" s="40" t="s">
        <v>186</v>
      </c>
      <c r="B530" s="40" t="s">
        <v>280</v>
      </c>
      <c r="C530" s="40" t="s">
        <v>512</v>
      </c>
      <c r="D530" s="27">
        <f>18000/15</f>
        <v>1200</v>
      </c>
    </row>
    <row r="531" spans="1:4" ht="18" customHeight="1">
      <c r="A531" s="40" t="s">
        <v>186</v>
      </c>
      <c r="B531" s="40" t="s">
        <v>306</v>
      </c>
      <c r="C531" s="40" t="s">
        <v>539</v>
      </c>
      <c r="D531" s="27">
        <f>18000/9</f>
        <v>2000</v>
      </c>
    </row>
    <row r="532" spans="1:4" ht="18" customHeight="1">
      <c r="A532" s="40" t="s">
        <v>186</v>
      </c>
      <c r="B532" s="40" t="s">
        <v>307</v>
      </c>
      <c r="C532" s="40" t="s">
        <v>540</v>
      </c>
      <c r="D532" s="19">
        <v>6000</v>
      </c>
    </row>
    <row r="533" spans="1:4" ht="18" customHeight="1">
      <c r="A533" s="40" t="s">
        <v>186</v>
      </c>
      <c r="B533" s="40" t="s">
        <v>144</v>
      </c>
      <c r="C533" s="40"/>
      <c r="D533" s="19">
        <v>100000</v>
      </c>
    </row>
    <row r="534" spans="1:4" ht="18" customHeight="1">
      <c r="A534" s="40" t="s">
        <v>186</v>
      </c>
      <c r="B534" s="40" t="s">
        <v>159</v>
      </c>
      <c r="C534" s="40"/>
      <c r="D534" s="27">
        <v>85000</v>
      </c>
    </row>
    <row r="535" spans="1:4" ht="18" customHeight="1">
      <c r="A535" s="40" t="s">
        <v>186</v>
      </c>
      <c r="B535" s="40" t="s">
        <v>160</v>
      </c>
      <c r="C535" s="40"/>
      <c r="D535" s="27">
        <v>75000</v>
      </c>
    </row>
    <row r="536" spans="1:4" ht="18" customHeight="1">
      <c r="A536" s="40" t="s">
        <v>186</v>
      </c>
      <c r="B536" s="40" t="s">
        <v>147</v>
      </c>
      <c r="C536" s="40"/>
      <c r="D536" s="27">
        <f>15000/37</f>
        <v>405.40540540540542</v>
      </c>
    </row>
    <row r="537" spans="1:4" ht="18" customHeight="1">
      <c r="A537" s="40" t="s">
        <v>186</v>
      </c>
      <c r="B537" s="40" t="s">
        <v>308</v>
      </c>
      <c r="C537" s="40"/>
      <c r="D537" s="27">
        <f>15000/16</f>
        <v>937.5</v>
      </c>
    </row>
    <row r="538" spans="1:4" ht="18" customHeight="1">
      <c r="A538" s="40" t="s">
        <v>186</v>
      </c>
      <c r="B538" s="40" t="s">
        <v>309</v>
      </c>
      <c r="C538" s="40"/>
      <c r="D538" s="27">
        <v>999</v>
      </c>
    </row>
    <row r="539" spans="1:4" ht="18" customHeight="1">
      <c r="A539" s="40" t="s">
        <v>186</v>
      </c>
      <c r="B539" s="40" t="s">
        <v>310</v>
      </c>
      <c r="C539" s="40" t="s">
        <v>541</v>
      </c>
      <c r="D539" s="27">
        <v>999</v>
      </c>
    </row>
    <row r="540" spans="1:4" ht="18" customHeight="1">
      <c r="A540" s="40" t="s">
        <v>186</v>
      </c>
      <c r="B540" s="40" t="s">
        <v>311</v>
      </c>
      <c r="C540" s="40"/>
      <c r="D540" s="27">
        <v>999</v>
      </c>
    </row>
    <row r="541" spans="1:4" ht="18" customHeight="1">
      <c r="A541" s="40" t="s">
        <v>186</v>
      </c>
      <c r="B541" s="40" t="s">
        <v>312</v>
      </c>
      <c r="C541" s="40"/>
      <c r="D541" s="19">
        <v>999</v>
      </c>
    </row>
    <row r="542" spans="1:4" ht="18" customHeight="1">
      <c r="A542" s="40" t="s">
        <v>186</v>
      </c>
      <c r="B542" s="40" t="s">
        <v>161</v>
      </c>
      <c r="C542" s="40"/>
      <c r="D542" s="19">
        <v>12000</v>
      </c>
    </row>
    <row r="543" spans="1:4" ht="18" customHeight="1">
      <c r="A543" s="40" t="s">
        <v>186</v>
      </c>
      <c r="B543" s="40" t="s">
        <v>313</v>
      </c>
      <c r="C543" s="40"/>
      <c r="D543" s="19">
        <v>4500</v>
      </c>
    </row>
    <row r="544" spans="1:4" ht="18" customHeight="1">
      <c r="A544" s="40" t="s">
        <v>186</v>
      </c>
      <c r="B544" s="40" t="s">
        <v>314</v>
      </c>
      <c r="C544" s="40"/>
      <c r="D544" s="19">
        <v>1500</v>
      </c>
    </row>
    <row r="545" spans="1:4" ht="18" customHeight="1">
      <c r="A545" s="40" t="s">
        <v>186</v>
      </c>
      <c r="B545" s="40" t="s">
        <v>158</v>
      </c>
      <c r="C545" s="40" t="s">
        <v>542</v>
      </c>
      <c r="D545" s="19">
        <v>37500</v>
      </c>
    </row>
    <row r="546" spans="1:4" ht="18" customHeight="1">
      <c r="A546" s="40" t="s">
        <v>186</v>
      </c>
      <c r="B546" s="40" t="s">
        <v>315</v>
      </c>
      <c r="C546" s="40" t="s">
        <v>543</v>
      </c>
      <c r="D546" s="19">
        <v>41500</v>
      </c>
    </row>
    <row r="547" spans="1:4" ht="18" customHeight="1">
      <c r="A547" s="40" t="s">
        <v>186</v>
      </c>
      <c r="B547" s="40" t="s">
        <v>316</v>
      </c>
      <c r="C547" s="40" t="s">
        <v>544</v>
      </c>
      <c r="D547" s="19">
        <v>45500</v>
      </c>
    </row>
    <row r="548" spans="1:4" ht="18" customHeight="1">
      <c r="A548" s="40" t="s">
        <v>148</v>
      </c>
      <c r="B548" s="40" t="s">
        <v>317</v>
      </c>
      <c r="C548" s="40" t="s">
        <v>367</v>
      </c>
      <c r="D548" s="19">
        <v>49500</v>
      </c>
    </row>
    <row r="549" spans="1:4" ht="18" customHeight="1">
      <c r="A549" s="40" t="s">
        <v>148</v>
      </c>
      <c r="B549" s="40" t="s">
        <v>317</v>
      </c>
      <c r="C549" s="40" t="s">
        <v>545</v>
      </c>
      <c r="D549" s="19">
        <v>55500</v>
      </c>
    </row>
    <row r="550" spans="1:4" ht="18" customHeight="1">
      <c r="A550" s="40" t="s">
        <v>148</v>
      </c>
      <c r="B550" s="40" t="s">
        <v>317</v>
      </c>
      <c r="C550" s="40" t="s">
        <v>546</v>
      </c>
      <c r="D550" s="19">
        <v>58500</v>
      </c>
    </row>
    <row r="551" spans="1:4" ht="18" customHeight="1">
      <c r="A551" s="40" t="s">
        <v>148</v>
      </c>
      <c r="B551" s="40" t="s">
        <v>317</v>
      </c>
      <c r="C551" s="40" t="s">
        <v>547</v>
      </c>
      <c r="D551" s="19">
        <v>61500</v>
      </c>
    </row>
    <row r="552" spans="1:4" ht="18" customHeight="1">
      <c r="A552" s="40" t="s">
        <v>148</v>
      </c>
      <c r="B552" s="40" t="s">
        <v>317</v>
      </c>
      <c r="C552" s="40" t="s">
        <v>548</v>
      </c>
      <c r="D552" s="19">
        <v>66500</v>
      </c>
    </row>
    <row r="553" spans="1:4" ht="18" customHeight="1">
      <c r="A553" s="40" t="s">
        <v>187</v>
      </c>
      <c r="B553" s="40" t="s">
        <v>149</v>
      </c>
      <c r="C553" s="40"/>
      <c r="D553" s="19">
        <v>3000</v>
      </c>
    </row>
    <row r="554" spans="1:4" ht="18" customHeight="1">
      <c r="A554" s="40" t="s">
        <v>187</v>
      </c>
      <c r="B554" s="40" t="s">
        <v>318</v>
      </c>
      <c r="C554" s="40"/>
      <c r="D554" s="19">
        <v>500</v>
      </c>
    </row>
    <row r="555" spans="1:4" ht="18" customHeight="1">
      <c r="A555" s="40" t="s">
        <v>187</v>
      </c>
      <c r="B555" s="40" t="s">
        <v>319</v>
      </c>
      <c r="C555" s="40"/>
      <c r="D555" s="19">
        <v>49500</v>
      </c>
    </row>
    <row r="556" spans="1:4" ht="18" customHeight="1">
      <c r="A556" s="40" t="s">
        <v>187</v>
      </c>
      <c r="B556" s="40" t="s">
        <v>320</v>
      </c>
      <c r="C556" s="40"/>
      <c r="D556" s="19">
        <v>65000</v>
      </c>
    </row>
    <row r="557" spans="1:4" ht="18" customHeight="1">
      <c r="A557" s="40" t="s">
        <v>187</v>
      </c>
      <c r="B557" s="40" t="s">
        <v>320</v>
      </c>
      <c r="C557" s="40" t="s">
        <v>549</v>
      </c>
      <c r="D557" s="19">
        <v>65000</v>
      </c>
    </row>
    <row r="558" spans="1:4" ht="18" customHeight="1">
      <c r="A558" s="40" t="s">
        <v>187</v>
      </c>
      <c r="B558" s="40" t="s">
        <v>320</v>
      </c>
      <c r="C558" s="40" t="s">
        <v>550</v>
      </c>
      <c r="D558" s="19">
        <v>49500</v>
      </c>
    </row>
    <row r="559" spans="1:4" ht="18" customHeight="1">
      <c r="A559" s="40" t="s">
        <v>187</v>
      </c>
      <c r="B559" s="40" t="s">
        <v>320</v>
      </c>
      <c r="C559" s="40" t="s">
        <v>551</v>
      </c>
      <c r="D559" s="19">
        <v>25000</v>
      </c>
    </row>
    <row r="560" spans="1:4" ht="18" customHeight="1">
      <c r="A560" s="40" t="s">
        <v>187</v>
      </c>
      <c r="B560" s="40" t="s">
        <v>321</v>
      </c>
      <c r="C560" s="40"/>
      <c r="D560" s="27">
        <v>89000</v>
      </c>
    </row>
    <row r="561" spans="1:5" ht="18" customHeight="1">
      <c r="A561" s="40" t="s">
        <v>187</v>
      </c>
      <c r="B561" s="40" t="s">
        <v>321</v>
      </c>
      <c r="C561" s="40" t="s">
        <v>552</v>
      </c>
      <c r="D561" s="27">
        <v>83000</v>
      </c>
    </row>
    <row r="562" spans="1:5" ht="18" customHeight="1">
      <c r="A562" s="40" t="s">
        <v>187</v>
      </c>
      <c r="B562" s="40" t="s">
        <v>321</v>
      </c>
      <c r="C562" s="40" t="s">
        <v>553</v>
      </c>
      <c r="D562" s="19">
        <v>999</v>
      </c>
    </row>
    <row r="563" spans="1:5" ht="18" customHeight="1">
      <c r="A563" s="40" t="s">
        <v>187</v>
      </c>
      <c r="B563" s="40" t="s">
        <v>321</v>
      </c>
      <c r="C563" s="40" t="s">
        <v>554</v>
      </c>
      <c r="D563" s="27">
        <v>25500</v>
      </c>
    </row>
    <row r="564" spans="1:5" ht="18" customHeight="1">
      <c r="A564" s="40" t="s">
        <v>187</v>
      </c>
      <c r="B564" s="40" t="s">
        <v>321</v>
      </c>
      <c r="C564" s="40" t="s">
        <v>555</v>
      </c>
      <c r="D564" s="27">
        <v>39000</v>
      </c>
      <c r="E564" s="27"/>
    </row>
    <row r="565" spans="1:5" ht="18" customHeight="1">
      <c r="A565" s="40" t="s">
        <v>188</v>
      </c>
      <c r="B565" s="40" t="s">
        <v>322</v>
      </c>
      <c r="C565" s="40"/>
      <c r="D565" s="27">
        <v>40900</v>
      </c>
      <c r="E565" s="27"/>
    </row>
    <row r="566" spans="1:5" ht="18" customHeight="1">
      <c r="A566" s="40" t="s">
        <v>188</v>
      </c>
      <c r="B566" s="40" t="s">
        <v>150</v>
      </c>
      <c r="C566" s="40"/>
      <c r="D566" s="27">
        <v>9900</v>
      </c>
    </row>
    <row r="567" spans="1:5" ht="18" customHeight="1">
      <c r="A567" s="40" t="s">
        <v>188</v>
      </c>
      <c r="B567" s="40" t="s">
        <v>323</v>
      </c>
      <c r="C567" s="40"/>
      <c r="D567" s="27">
        <v>7900</v>
      </c>
    </row>
    <row r="568" spans="1:5" ht="18" customHeight="1">
      <c r="A568" s="40" t="s">
        <v>188</v>
      </c>
      <c r="B568" s="40" t="s">
        <v>324</v>
      </c>
      <c r="C568" s="40"/>
      <c r="D568" s="27">
        <v>25500</v>
      </c>
      <c r="E568" s="27"/>
    </row>
    <row r="569" spans="1:5" ht="18" customHeight="1">
      <c r="A569" s="40" t="s">
        <v>155</v>
      </c>
      <c r="B569" s="40" t="s">
        <v>325</v>
      </c>
      <c r="C569" s="40"/>
      <c r="D569" s="27">
        <v>40900</v>
      </c>
    </row>
    <row r="570" spans="1:5" ht="18" customHeight="1">
      <c r="A570" s="40" t="s">
        <v>189</v>
      </c>
      <c r="B570" s="40" t="s">
        <v>326</v>
      </c>
      <c r="C570" s="40"/>
      <c r="D570" s="27">
        <v>9900</v>
      </c>
    </row>
    <row r="571" spans="1:5" ht="18" customHeight="1">
      <c r="A571" s="40" t="s">
        <v>189</v>
      </c>
      <c r="B571" s="40" t="s">
        <v>327</v>
      </c>
      <c r="C571" s="40"/>
      <c r="D571" s="27">
        <v>6400</v>
      </c>
    </row>
    <row r="572" spans="1:5" ht="18" customHeight="1">
      <c r="A572" s="40" t="s">
        <v>189</v>
      </c>
      <c r="B572" s="40" t="s">
        <v>327</v>
      </c>
      <c r="C572" s="40" t="s">
        <v>556</v>
      </c>
      <c r="D572" s="19">
        <v>5000</v>
      </c>
    </row>
    <row r="573" spans="1:5" ht="18" customHeight="1">
      <c r="A573" s="40" t="s">
        <v>189</v>
      </c>
      <c r="B573" s="40" t="s">
        <v>151</v>
      </c>
      <c r="C573" s="40"/>
      <c r="D573" s="19">
        <v>1000</v>
      </c>
    </row>
    <row r="574" spans="1:5" ht="18" customHeight="1">
      <c r="A574" s="40" t="s">
        <v>189</v>
      </c>
      <c r="B574" s="40" t="s">
        <v>151</v>
      </c>
      <c r="C574" s="40" t="s">
        <v>557</v>
      </c>
      <c r="D574" s="27">
        <v>38900</v>
      </c>
      <c r="E574" s="27"/>
    </row>
    <row r="575" spans="1:5" ht="18" customHeight="1">
      <c r="A575" s="40" t="s">
        <v>189</v>
      </c>
      <c r="B575" s="40" t="s">
        <v>328</v>
      </c>
      <c r="C575" s="40"/>
      <c r="D575" s="27">
        <v>40800</v>
      </c>
      <c r="E575" s="27"/>
    </row>
    <row r="576" spans="1:5" ht="18" customHeight="1">
      <c r="A576" s="40" t="s">
        <v>189</v>
      </c>
      <c r="B576" s="40" t="s">
        <v>328</v>
      </c>
      <c r="C576" s="40" t="s">
        <v>558</v>
      </c>
      <c r="D576" s="27">
        <v>12000</v>
      </c>
    </row>
    <row r="577" spans="1:5" ht="18" customHeight="1">
      <c r="A577" s="40" t="s">
        <v>189</v>
      </c>
      <c r="B577" s="40" t="s">
        <v>329</v>
      </c>
      <c r="C577" s="40"/>
      <c r="D577" s="19">
        <v>999</v>
      </c>
    </row>
    <row r="578" spans="1:5" ht="18" customHeight="1">
      <c r="A578" s="40" t="s">
        <v>189</v>
      </c>
      <c r="B578" s="40" t="s">
        <v>329</v>
      </c>
      <c r="C578" s="40" t="s">
        <v>559</v>
      </c>
      <c r="D578" s="19">
        <v>999</v>
      </c>
    </row>
    <row r="579" spans="1:5" ht="18" customHeight="1">
      <c r="A579" s="40" t="s">
        <v>189</v>
      </c>
      <c r="B579" s="40" t="s">
        <v>329</v>
      </c>
      <c r="C579" s="40" t="s">
        <v>560</v>
      </c>
      <c r="D579" s="19">
        <v>999</v>
      </c>
    </row>
    <row r="580" spans="1:5" ht="18" customHeight="1">
      <c r="A580" s="40" t="s">
        <v>190</v>
      </c>
      <c r="B580" s="40" t="s">
        <v>16</v>
      </c>
      <c r="C580" s="40" t="s">
        <v>561</v>
      </c>
      <c r="D580" s="19">
        <v>999</v>
      </c>
    </row>
    <row r="581" spans="1:5" ht="18" customHeight="1">
      <c r="A581" s="40" t="s">
        <v>190</v>
      </c>
      <c r="B581" s="40" t="s">
        <v>16</v>
      </c>
      <c r="C581" s="40" t="s">
        <v>562</v>
      </c>
      <c r="D581" s="19">
        <v>58500</v>
      </c>
    </row>
    <row r="582" spans="1:5" ht="18" customHeight="1">
      <c r="A582" s="40" t="s">
        <v>191</v>
      </c>
      <c r="B582" s="40" t="s">
        <v>291</v>
      </c>
      <c r="C582" s="40" t="s">
        <v>563</v>
      </c>
      <c r="D582" s="19">
        <v>150000</v>
      </c>
    </row>
    <row r="583" spans="1:5" ht="18" customHeight="1">
      <c r="A583" s="40" t="s">
        <v>192</v>
      </c>
      <c r="B583" s="40" t="s">
        <v>330</v>
      </c>
      <c r="C583" s="40" t="s">
        <v>564</v>
      </c>
      <c r="D583" s="19">
        <v>15000</v>
      </c>
    </row>
    <row r="584" spans="1:5" ht="18" customHeight="1">
      <c r="A584" s="40" t="s">
        <v>192</v>
      </c>
      <c r="B584" s="40" t="s">
        <v>330</v>
      </c>
      <c r="C584" s="40" t="s">
        <v>565</v>
      </c>
      <c r="D584" s="27">
        <v>9500</v>
      </c>
      <c r="E584" s="27"/>
    </row>
    <row r="585" spans="1:5" ht="18" customHeight="1">
      <c r="A585" s="40" t="s">
        <v>193</v>
      </c>
      <c r="B585" s="40" t="s">
        <v>331</v>
      </c>
      <c r="C585" s="40" t="s">
        <v>566</v>
      </c>
      <c r="D585" s="27">
        <v>11000</v>
      </c>
      <c r="E585" s="27"/>
    </row>
    <row r="586" spans="1:5" ht="18" customHeight="1">
      <c r="A586" s="40" t="s">
        <v>193</v>
      </c>
      <c r="B586" s="40" t="s">
        <v>332</v>
      </c>
      <c r="C586" s="40" t="s">
        <v>566</v>
      </c>
      <c r="D586" s="19">
        <v>999</v>
      </c>
    </row>
    <row r="587" spans="1:5" ht="18" customHeight="1">
      <c r="A587" s="40" t="s">
        <v>193</v>
      </c>
      <c r="B587" s="40" t="s">
        <v>333</v>
      </c>
      <c r="C587" s="40" t="s">
        <v>566</v>
      </c>
      <c r="D587" s="27">
        <v>10200</v>
      </c>
      <c r="E587" s="27"/>
    </row>
    <row r="588" spans="1:5" ht="18" customHeight="1">
      <c r="A588" s="40" t="s">
        <v>193</v>
      </c>
      <c r="B588" s="40" t="s">
        <v>334</v>
      </c>
      <c r="C588" s="40" t="s">
        <v>566</v>
      </c>
      <c r="D588" s="27">
        <v>11000</v>
      </c>
      <c r="E588" s="27"/>
    </row>
    <row r="589" spans="1:5" ht="18" customHeight="1">
      <c r="A589" s="40" t="s">
        <v>193</v>
      </c>
      <c r="B589" s="40" t="s">
        <v>335</v>
      </c>
      <c r="C589" s="40" t="s">
        <v>566</v>
      </c>
      <c r="D589" s="27">
        <v>11000</v>
      </c>
      <c r="E589" s="27"/>
    </row>
    <row r="590" spans="1:5" ht="18" customHeight="1">
      <c r="A590" s="40" t="s">
        <v>193</v>
      </c>
      <c r="B590" s="40" t="s">
        <v>336</v>
      </c>
      <c r="C590" s="40" t="s">
        <v>567</v>
      </c>
      <c r="D590" s="19">
        <v>999</v>
      </c>
    </row>
    <row r="591" spans="1:5" ht="18" customHeight="1">
      <c r="A591" s="40" t="s">
        <v>193</v>
      </c>
      <c r="B591" s="40" t="s">
        <v>337</v>
      </c>
      <c r="C591" s="40" t="s">
        <v>567</v>
      </c>
      <c r="D591" s="19">
        <v>999</v>
      </c>
    </row>
    <row r="592" spans="1:5" ht="18" customHeight="1">
      <c r="A592" s="40" t="s">
        <v>193</v>
      </c>
      <c r="B592" s="40" t="s">
        <v>338</v>
      </c>
      <c r="C592" s="40"/>
      <c r="D592" s="19">
        <v>999</v>
      </c>
    </row>
    <row r="593" spans="1:4" ht="18" customHeight="1">
      <c r="A593" s="40" t="s">
        <v>193</v>
      </c>
      <c r="B593" s="40" t="s">
        <v>339</v>
      </c>
      <c r="C593" s="40" t="s">
        <v>568</v>
      </c>
      <c r="D593" s="27">
        <v>44000</v>
      </c>
    </row>
    <row r="594" spans="1:4" ht="18" customHeight="1">
      <c r="A594" s="40" t="s">
        <v>193</v>
      </c>
      <c r="B594" s="40" t="s">
        <v>340</v>
      </c>
      <c r="C594" s="40"/>
      <c r="D594" s="27">
        <v>20000</v>
      </c>
    </row>
    <row r="595" spans="1:4" ht="18" customHeight="1">
      <c r="A595" s="40" t="s">
        <v>193</v>
      </c>
      <c r="B595" s="40" t="s">
        <v>341</v>
      </c>
      <c r="C595" s="40" t="s">
        <v>569</v>
      </c>
      <c r="D595" s="27">
        <v>74000</v>
      </c>
    </row>
    <row r="596" spans="1:4" ht="18" customHeight="1">
      <c r="A596" s="40" t="s">
        <v>194</v>
      </c>
      <c r="B596" s="40" t="s">
        <v>304</v>
      </c>
      <c r="C596" s="40" t="s">
        <v>570</v>
      </c>
      <c r="D596" s="19">
        <v>999</v>
      </c>
    </row>
    <row r="597" spans="1:4" ht="18" customHeight="1">
      <c r="A597" s="40" t="s">
        <v>194</v>
      </c>
      <c r="B597" s="40" t="s">
        <v>304</v>
      </c>
      <c r="C597" s="40" t="s">
        <v>571</v>
      </c>
      <c r="D597" s="19">
        <v>999</v>
      </c>
    </row>
    <row r="598" spans="1:4" ht="18" customHeight="1">
      <c r="A598" s="40" t="s">
        <v>194</v>
      </c>
      <c r="B598" s="40" t="s">
        <v>304</v>
      </c>
      <c r="C598" s="40" t="s">
        <v>572</v>
      </c>
      <c r="D598" s="19">
        <v>999</v>
      </c>
    </row>
    <row r="599" spans="1:4" ht="18" customHeight="1">
      <c r="A599" s="40" t="s">
        <v>194</v>
      </c>
      <c r="B599" s="40" t="s">
        <v>342</v>
      </c>
      <c r="C599" s="40" t="s">
        <v>573</v>
      </c>
      <c r="D599" s="19">
        <v>999</v>
      </c>
    </row>
    <row r="600" spans="1:4" ht="18" customHeight="1">
      <c r="A600" s="40" t="s">
        <v>194</v>
      </c>
      <c r="B600" s="40" t="s">
        <v>343</v>
      </c>
      <c r="C600" s="40" t="s">
        <v>574</v>
      </c>
      <c r="D600" s="19">
        <v>999</v>
      </c>
    </row>
    <row r="601" spans="1:4" ht="18" customHeight="1">
      <c r="A601" s="40" t="s">
        <v>195</v>
      </c>
      <c r="B601" s="40" t="s">
        <v>344</v>
      </c>
      <c r="C601" s="40" t="s">
        <v>575</v>
      </c>
      <c r="D601" s="19">
        <v>999</v>
      </c>
    </row>
    <row r="602" spans="1:4" ht="18" customHeight="1">
      <c r="A602" s="40" t="s">
        <v>195</v>
      </c>
      <c r="B602" s="40" t="s">
        <v>344</v>
      </c>
      <c r="C602" s="40" t="s">
        <v>576</v>
      </c>
      <c r="D602" s="19">
        <v>999</v>
      </c>
    </row>
    <row r="603" spans="1:4" ht="18" customHeight="1">
      <c r="A603" s="40" t="s">
        <v>195</v>
      </c>
      <c r="B603" s="40" t="s">
        <v>344</v>
      </c>
      <c r="C603" s="40" t="s">
        <v>577</v>
      </c>
      <c r="D603" s="19">
        <v>999</v>
      </c>
    </row>
    <row r="604" spans="1:4" ht="18" customHeight="1">
      <c r="A604" s="40" t="s">
        <v>195</v>
      </c>
      <c r="B604" s="40" t="s">
        <v>345</v>
      </c>
      <c r="C604" s="40" t="s">
        <v>525</v>
      </c>
      <c r="D604" s="19">
        <v>999</v>
      </c>
    </row>
    <row r="605" spans="1:4" ht="18" customHeight="1">
      <c r="A605" s="40" t="s">
        <v>195</v>
      </c>
      <c r="B605" s="40" t="s">
        <v>346</v>
      </c>
      <c r="C605" s="40" t="s">
        <v>578</v>
      </c>
      <c r="D605" s="19">
        <v>10000</v>
      </c>
    </row>
    <row r="606" spans="1:4" ht="18" customHeight="1">
      <c r="A606" s="40" t="s">
        <v>195</v>
      </c>
      <c r="B606" s="40" t="s">
        <v>347</v>
      </c>
      <c r="C606" s="40" t="s">
        <v>525</v>
      </c>
      <c r="D606" s="19">
        <v>6000</v>
      </c>
    </row>
    <row r="607" spans="1:4" ht="18" customHeight="1">
      <c r="A607" s="40" t="s">
        <v>195</v>
      </c>
      <c r="B607" s="40" t="s">
        <v>348</v>
      </c>
      <c r="C607" s="40" t="s">
        <v>526</v>
      </c>
      <c r="D607" s="19">
        <v>3000</v>
      </c>
    </row>
    <row r="608" spans="1:4" ht="18" customHeight="1">
      <c r="A608" s="40" t="s">
        <v>195</v>
      </c>
      <c r="B608" s="40" t="s">
        <v>348</v>
      </c>
      <c r="C608" s="40" t="s">
        <v>579</v>
      </c>
      <c r="D608" s="19">
        <v>3000</v>
      </c>
    </row>
    <row r="609" spans="1:4" ht="18" customHeight="1">
      <c r="A609" s="40" t="s">
        <v>195</v>
      </c>
      <c r="B609" s="40" t="s">
        <v>349</v>
      </c>
      <c r="C609" s="40" t="s">
        <v>580</v>
      </c>
      <c r="D609" s="19">
        <v>3000</v>
      </c>
    </row>
    <row r="610" spans="1:4" ht="18" customHeight="1">
      <c r="A610" s="40" t="s">
        <v>195</v>
      </c>
      <c r="B610" s="40" t="s">
        <v>350</v>
      </c>
      <c r="C610" s="40"/>
      <c r="D610" s="19">
        <v>8000</v>
      </c>
    </row>
    <row r="611" spans="1:4" ht="18" customHeight="1">
      <c r="A611" s="40" t="s">
        <v>195</v>
      </c>
      <c r="B611" s="40" t="s">
        <v>350</v>
      </c>
      <c r="C611" s="40" t="s">
        <v>350</v>
      </c>
      <c r="D611" s="19">
        <v>1400</v>
      </c>
    </row>
    <row r="612" spans="1:4" ht="18" customHeight="1">
      <c r="A612" s="40" t="s">
        <v>195</v>
      </c>
      <c r="B612" s="40" t="s">
        <v>351</v>
      </c>
      <c r="C612" s="40"/>
      <c r="D612" s="19">
        <v>999</v>
      </c>
    </row>
    <row r="613" spans="1:4" ht="18" customHeight="1">
      <c r="A613" s="40" t="s">
        <v>195</v>
      </c>
      <c r="B613" s="40" t="s">
        <v>352</v>
      </c>
      <c r="C613" s="40" t="s">
        <v>526</v>
      </c>
      <c r="D613" s="19">
        <v>999</v>
      </c>
    </row>
    <row r="614" spans="1:4" ht="18" customHeight="1">
      <c r="A614" s="40" t="s">
        <v>195</v>
      </c>
      <c r="B614" s="40" t="s">
        <v>353</v>
      </c>
      <c r="C614" s="40" t="s">
        <v>526</v>
      </c>
      <c r="D614" s="19">
        <v>1000</v>
      </c>
    </row>
    <row r="615" spans="1:4" ht="18" customHeight="1">
      <c r="A615" s="40" t="s">
        <v>195</v>
      </c>
      <c r="B615" s="40" t="s">
        <v>354</v>
      </c>
      <c r="C615" s="40" t="s">
        <v>525</v>
      </c>
      <c r="D615" s="19">
        <v>2500</v>
      </c>
    </row>
    <row r="616" spans="1:4" ht="18" customHeight="1">
      <c r="A616" s="41"/>
      <c r="B616" s="41"/>
      <c r="C616" s="41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8"/>
  <sheetViews>
    <sheetView workbookViewId="0">
      <selection activeCell="J17" sqref="J17"/>
    </sheetView>
  </sheetViews>
  <sheetFormatPr defaultColWidth="12.5703125" defaultRowHeight="18" customHeight="1"/>
  <cols>
    <col min="1" max="1" width="26.42578125" style="9" customWidth="1"/>
    <col min="2" max="2" width="21.42578125" style="9" customWidth="1"/>
    <col min="3" max="3" width="12.5703125" style="9" customWidth="1"/>
    <col min="4" max="8" width="7.5703125" style="9" customWidth="1"/>
    <col min="9" max="9" width="9.7109375" style="9" customWidth="1"/>
    <col min="10" max="10" width="11.140625" style="9" customWidth="1"/>
    <col min="11" max="26" width="7.5703125" style="9" customWidth="1"/>
    <col min="27" max="16384" width="12.5703125" style="9"/>
  </cols>
  <sheetData>
    <row r="1" spans="1:12" ht="18" customHeight="1">
      <c r="A1" s="28" t="s">
        <v>50</v>
      </c>
      <c r="B1" s="28" t="s">
        <v>51</v>
      </c>
    </row>
    <row r="2" spans="1:12" ht="18" customHeight="1">
      <c r="A2" s="31" t="s">
        <v>52</v>
      </c>
      <c r="B2" s="29">
        <v>1440</v>
      </c>
    </row>
    <row r="3" spans="1:12" ht="18" customHeight="1">
      <c r="A3" s="31" t="s">
        <v>53</v>
      </c>
      <c r="B3" s="29">
        <v>1485</v>
      </c>
      <c r="L3" s="30"/>
    </row>
    <row r="4" spans="1:12" ht="18" customHeight="1">
      <c r="A4" s="31" t="s">
        <v>54</v>
      </c>
      <c r="B4" s="29">
        <v>1798</v>
      </c>
    </row>
    <row r="5" spans="1:12" ht="18" customHeight="1">
      <c r="A5" s="31" t="s">
        <v>55</v>
      </c>
      <c r="B5" s="29">
        <v>3162</v>
      </c>
    </row>
    <row r="6" spans="1:12" ht="18" customHeight="1">
      <c r="A6" s="31" t="s">
        <v>56</v>
      </c>
      <c r="B6" s="29">
        <v>3341</v>
      </c>
      <c r="L6" s="30"/>
    </row>
    <row r="7" spans="1:12" ht="18" customHeight="1">
      <c r="A7" s="31" t="s">
        <v>57</v>
      </c>
      <c r="B7" s="29">
        <v>3930</v>
      </c>
    </row>
    <row r="8" spans="1:12" ht="18" customHeight="1">
      <c r="A8" s="31" t="s">
        <v>58</v>
      </c>
      <c r="B8" s="29">
        <v>4320</v>
      </c>
    </row>
    <row r="9" spans="1:12" ht="18" customHeight="1">
      <c r="A9" s="31" t="s">
        <v>59</v>
      </c>
      <c r="B9" s="29">
        <v>830</v>
      </c>
    </row>
    <row r="10" spans="1:12" ht="18" customHeight="1">
      <c r="A10" s="31" t="s">
        <v>60</v>
      </c>
      <c r="B10" s="29">
        <v>434.60924999999997</v>
      </c>
    </row>
    <row r="11" spans="1:12" ht="18" customHeight="1">
      <c r="A11" s="31" t="s">
        <v>61</v>
      </c>
      <c r="B11" s="29">
        <v>60</v>
      </c>
    </row>
    <row r="12" spans="1:12" ht="18" customHeight="1">
      <c r="A12" s="31" t="s">
        <v>62</v>
      </c>
      <c r="B12" s="29">
        <v>3730</v>
      </c>
    </row>
    <row r="13" spans="1:12" ht="18" customHeight="1">
      <c r="A13" s="31" t="s">
        <v>63</v>
      </c>
      <c r="B13" s="29">
        <v>269000</v>
      </c>
    </row>
    <row r="14" spans="1:12" ht="18" customHeight="1">
      <c r="A14" s="31" t="s">
        <v>64</v>
      </c>
      <c r="B14" s="29">
        <v>1.02</v>
      </c>
    </row>
    <row r="15" spans="1:12" ht="18" customHeight="1">
      <c r="A15" s="31" t="s">
        <v>65</v>
      </c>
      <c r="B15" s="29">
        <v>2.2999999999999998</v>
      </c>
    </row>
    <row r="16" spans="1:12" ht="18" customHeight="1">
      <c r="A16" s="31" t="s">
        <v>66</v>
      </c>
      <c r="B16" s="29">
        <v>325</v>
      </c>
    </row>
    <row r="17" spans="1:2" ht="18" customHeight="1">
      <c r="A17" s="31" t="s">
        <v>67</v>
      </c>
      <c r="B17" s="29">
        <v>300</v>
      </c>
    </row>
    <row r="18" spans="1:2" ht="18" customHeight="1">
      <c r="A18" s="31" t="s">
        <v>68</v>
      </c>
      <c r="B18" s="29">
        <v>275</v>
      </c>
    </row>
    <row r="19" spans="1:2" ht="18" customHeight="1">
      <c r="A19" s="31" t="s">
        <v>69</v>
      </c>
      <c r="B19" s="29">
        <v>9000</v>
      </c>
    </row>
    <row r="20" spans="1:2" ht="18" customHeight="1">
      <c r="A20" s="31" t="s">
        <v>70</v>
      </c>
      <c r="B20" s="29">
        <v>9000</v>
      </c>
    </row>
    <row r="21" spans="1:2" ht="18" customHeight="1">
      <c r="A21" s="31" t="s">
        <v>71</v>
      </c>
      <c r="B21" s="29">
        <v>10000</v>
      </c>
    </row>
    <row r="22" spans="1:2" ht="18" customHeight="1">
      <c r="A22" s="31" t="s">
        <v>72</v>
      </c>
      <c r="B22" s="29">
        <v>0.7</v>
      </c>
    </row>
    <row r="23" spans="1:2" ht="18" customHeight="1">
      <c r="A23" s="31" t="s">
        <v>73</v>
      </c>
      <c r="B23" s="29">
        <v>0.8</v>
      </c>
    </row>
    <row r="24" spans="1:2" ht="18" customHeight="1">
      <c r="A24" s="26"/>
      <c r="B24" s="25"/>
    </row>
    <row r="25" spans="1:2" ht="18" customHeight="1">
      <c r="A25" s="26"/>
      <c r="B25" s="25"/>
    </row>
    <row r="26" spans="1:2" ht="18" customHeight="1">
      <c r="A26" s="26"/>
      <c r="B26" s="25"/>
    </row>
    <row r="27" spans="1:2" ht="18" customHeight="1">
      <c r="B27" s="25"/>
    </row>
    <row r="28" spans="1:2" ht="18" customHeight="1">
      <c r="B28" s="25"/>
    </row>
  </sheetData>
  <phoneticPr fontId="2" type="noConversion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213FF-2F9A-408C-95B1-7F50271F79A2}">
  <dimension ref="A1:F17"/>
  <sheetViews>
    <sheetView workbookViewId="0">
      <selection activeCell="F20" sqref="F20"/>
    </sheetView>
  </sheetViews>
  <sheetFormatPr defaultColWidth="9.28515625" defaultRowHeight="18" customHeight="1"/>
  <cols>
    <col min="1" max="1" width="18.5703125" style="9" customWidth="1"/>
    <col min="2" max="3" width="13.140625" style="9" customWidth="1"/>
    <col min="4" max="16384" width="9.28515625" style="9"/>
  </cols>
  <sheetData>
    <row r="1" spans="1:6" ht="18" customHeight="1">
      <c r="A1" s="11" t="s">
        <v>170</v>
      </c>
      <c r="B1" s="11" t="s">
        <v>133</v>
      </c>
      <c r="C1" s="11" t="s">
        <v>134</v>
      </c>
    </row>
    <row r="2" spans="1:6" ht="18" customHeight="1">
      <c r="A2" s="9" t="s">
        <v>131</v>
      </c>
      <c r="B2" s="25">
        <v>12000</v>
      </c>
      <c r="C2" s="25">
        <v>24331</v>
      </c>
      <c r="D2" s="25"/>
      <c r="E2" s="25"/>
    </row>
    <row r="3" spans="1:6" ht="18" customHeight="1">
      <c r="A3" s="9" t="s">
        <v>132</v>
      </c>
      <c r="B3" s="25">
        <v>12000</v>
      </c>
      <c r="C3" s="25">
        <v>31159</v>
      </c>
      <c r="D3" s="25"/>
      <c r="E3" s="25"/>
      <c r="F3" s="11"/>
    </row>
    <row r="4" spans="1:6" ht="18" customHeight="1">
      <c r="B4" s="25"/>
      <c r="C4" s="25"/>
      <c r="D4" s="25"/>
      <c r="E4" s="25"/>
      <c r="F4" s="11"/>
    </row>
    <row r="5" spans="1:6" ht="18" customHeight="1">
      <c r="B5" s="25"/>
      <c r="C5" s="25"/>
      <c r="D5" s="25"/>
      <c r="E5" s="25"/>
      <c r="F5" s="11"/>
    </row>
    <row r="6" spans="1:6" ht="18" customHeight="1">
      <c r="B6" s="25"/>
      <c r="C6" s="25"/>
      <c r="D6" s="25"/>
      <c r="E6" s="25"/>
      <c r="F6" s="11"/>
    </row>
    <row r="7" spans="1:6" ht="18" customHeight="1">
      <c r="B7" s="25"/>
      <c r="C7" s="25"/>
      <c r="D7" s="25"/>
      <c r="E7" s="25"/>
      <c r="F7" s="11"/>
    </row>
    <row r="8" spans="1:6" ht="18" customHeight="1">
      <c r="B8" s="25"/>
      <c r="C8" s="25"/>
      <c r="D8" s="25"/>
      <c r="E8" s="25"/>
      <c r="F8" s="11"/>
    </row>
    <row r="9" spans="1:6" ht="18" customHeight="1">
      <c r="B9" s="25"/>
      <c r="C9" s="25"/>
      <c r="D9" s="25"/>
      <c r="E9" s="25"/>
      <c r="F9" s="11"/>
    </row>
    <row r="10" spans="1:6" ht="18" customHeight="1">
      <c r="B10" s="25"/>
      <c r="C10" s="25"/>
      <c r="D10" s="25"/>
      <c r="E10" s="25"/>
      <c r="F10" s="11"/>
    </row>
    <row r="11" spans="1:6" ht="18" customHeight="1">
      <c r="B11" s="25"/>
      <c r="C11" s="25"/>
      <c r="D11" s="25"/>
      <c r="E11" s="25"/>
      <c r="F11" s="11"/>
    </row>
    <row r="12" spans="1:6" ht="18" customHeight="1">
      <c r="B12" s="25"/>
      <c r="C12" s="25"/>
      <c r="D12" s="25"/>
      <c r="E12" s="25"/>
      <c r="F12" s="11"/>
    </row>
    <row r="13" spans="1:6" ht="18" customHeight="1">
      <c r="B13" s="25"/>
      <c r="C13" s="25"/>
      <c r="D13" s="25"/>
      <c r="E13" s="25"/>
      <c r="F13" s="11"/>
    </row>
    <row r="14" spans="1:6" ht="18" customHeight="1">
      <c r="B14" s="25"/>
      <c r="C14" s="25"/>
      <c r="D14" s="25"/>
      <c r="E14" s="25"/>
      <c r="F14" s="11"/>
    </row>
    <row r="15" spans="1:6" ht="18" customHeight="1">
      <c r="B15" s="25"/>
      <c r="C15" s="25"/>
      <c r="D15" s="25"/>
      <c r="E15" s="25"/>
      <c r="F15" s="11"/>
    </row>
    <row r="16" spans="1:6" ht="18" customHeight="1">
      <c r="B16" s="25"/>
      <c r="C16" s="25"/>
      <c r="D16" s="25"/>
      <c r="E16" s="25"/>
      <c r="F16" s="11"/>
    </row>
    <row r="17" spans="2:5" ht="18" customHeight="1">
      <c r="B17" s="25"/>
      <c r="C17" s="25"/>
      <c r="D17" s="25"/>
      <c r="E17" s="25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664EB-94C1-44C1-870D-2861317428EE}">
  <dimension ref="A1:E42"/>
  <sheetViews>
    <sheetView topLeftCell="A3" workbookViewId="0">
      <selection activeCell="E45" sqref="E45"/>
    </sheetView>
  </sheetViews>
  <sheetFormatPr defaultRowHeight="15"/>
  <cols>
    <col min="1" max="1" width="13.5703125" customWidth="1"/>
    <col min="2" max="3" width="9.140625" style="3"/>
    <col min="4" max="4" width="15.42578125" style="3" customWidth="1"/>
    <col min="5" max="5" width="96.140625" style="3" customWidth="1"/>
  </cols>
  <sheetData>
    <row r="1" spans="1:5" ht="16.5">
      <c r="A1" s="6" t="s">
        <v>90</v>
      </c>
      <c r="B1" s="7"/>
      <c r="C1" s="7"/>
      <c r="D1" s="7"/>
      <c r="E1" s="7"/>
    </row>
    <row r="2" spans="1:5">
      <c r="A2" s="2" t="s">
        <v>74</v>
      </c>
      <c r="B2" s="4" t="s">
        <v>75</v>
      </c>
      <c r="C2" s="4" t="s">
        <v>76</v>
      </c>
      <c r="D2" s="4" t="s">
        <v>77</v>
      </c>
      <c r="E2" s="4" t="s">
        <v>78</v>
      </c>
    </row>
    <row r="3" spans="1:5" ht="16.5">
      <c r="A3" s="1" t="s">
        <v>0</v>
      </c>
      <c r="B3" s="4" t="s">
        <v>79</v>
      </c>
      <c r="C3" s="4" t="s">
        <v>80</v>
      </c>
      <c r="D3" s="4" t="s">
        <v>14</v>
      </c>
      <c r="E3" s="8" t="s">
        <v>130</v>
      </c>
    </row>
    <row r="4" spans="1:5">
      <c r="A4" s="1" t="s">
        <v>27</v>
      </c>
      <c r="B4" s="4" t="s">
        <v>79</v>
      </c>
      <c r="C4" s="4" t="s">
        <v>80</v>
      </c>
      <c r="D4" s="4" t="s">
        <v>15</v>
      </c>
      <c r="E4" s="4" t="s">
        <v>81</v>
      </c>
    </row>
    <row r="5" spans="1:5">
      <c r="A5" s="1" t="s">
        <v>2</v>
      </c>
      <c r="B5" s="4" t="s">
        <v>79</v>
      </c>
      <c r="C5" s="4" t="s">
        <v>80</v>
      </c>
      <c r="D5" s="4" t="s">
        <v>16</v>
      </c>
      <c r="E5" s="4" t="s">
        <v>82</v>
      </c>
    </row>
    <row r="6" spans="1:5">
      <c r="A6" s="1" t="s">
        <v>28</v>
      </c>
      <c r="B6" s="4" t="s">
        <v>79</v>
      </c>
      <c r="C6" s="4" t="s">
        <v>80</v>
      </c>
      <c r="D6" s="4" t="s">
        <v>31</v>
      </c>
      <c r="E6" s="4" t="s">
        <v>83</v>
      </c>
    </row>
    <row r="7" spans="1:5">
      <c r="A7" s="1" t="s">
        <v>34</v>
      </c>
      <c r="B7" s="4" t="s">
        <v>84</v>
      </c>
      <c r="C7" s="4" t="s">
        <v>85</v>
      </c>
      <c r="D7" s="4">
        <v>1300</v>
      </c>
      <c r="E7" s="4" t="s">
        <v>86</v>
      </c>
    </row>
    <row r="8" spans="1:5">
      <c r="A8" s="1" t="s">
        <v>29</v>
      </c>
      <c r="B8" s="4" t="s">
        <v>84</v>
      </c>
      <c r="C8" s="4" t="s">
        <v>85</v>
      </c>
      <c r="D8" s="4">
        <v>1500</v>
      </c>
      <c r="E8" s="4" t="s">
        <v>87</v>
      </c>
    </row>
    <row r="9" spans="1:5">
      <c r="A9" s="1" t="s">
        <v>30</v>
      </c>
      <c r="B9" s="4" t="s">
        <v>84</v>
      </c>
      <c r="C9" s="4" t="s">
        <v>88</v>
      </c>
      <c r="D9" s="4">
        <v>51610</v>
      </c>
      <c r="E9" s="4" t="s">
        <v>89</v>
      </c>
    </row>
    <row r="11" spans="1:5" ht="16.5">
      <c r="A11" s="6" t="s">
        <v>91</v>
      </c>
      <c r="B11" s="7"/>
      <c r="C11" s="7"/>
      <c r="D11" s="7"/>
      <c r="E11" s="7"/>
    </row>
    <row r="12" spans="1:5" ht="16.5">
      <c r="A12" s="5" t="s">
        <v>116</v>
      </c>
      <c r="B12" s="2" t="s">
        <v>75</v>
      </c>
      <c r="C12" s="2" t="s">
        <v>76</v>
      </c>
      <c r="D12" s="2" t="s">
        <v>92</v>
      </c>
      <c r="E12" s="5" t="s">
        <v>117</v>
      </c>
    </row>
    <row r="13" spans="1:5">
      <c r="A13" s="1" t="s">
        <v>0</v>
      </c>
      <c r="B13" s="1" t="s">
        <v>79</v>
      </c>
      <c r="C13" s="1" t="s">
        <v>80</v>
      </c>
      <c r="D13" s="1" t="s">
        <v>93</v>
      </c>
      <c r="E13" s="1" t="s">
        <v>94</v>
      </c>
    </row>
    <row r="14" spans="1:5" ht="45">
      <c r="A14" s="1" t="s">
        <v>1</v>
      </c>
      <c r="B14" s="1" t="s">
        <v>79</v>
      </c>
      <c r="C14" s="1" t="s">
        <v>80</v>
      </c>
      <c r="D14" s="1" t="s">
        <v>95</v>
      </c>
      <c r="E14" s="1" t="s">
        <v>96</v>
      </c>
    </row>
    <row r="15" spans="1:5">
      <c r="A15" s="1" t="s">
        <v>2</v>
      </c>
      <c r="B15" s="1" t="s">
        <v>79</v>
      </c>
      <c r="C15" s="1" t="s">
        <v>80</v>
      </c>
      <c r="D15" s="1" t="s">
        <v>97</v>
      </c>
      <c r="E15" s="1" t="s">
        <v>98</v>
      </c>
    </row>
    <row r="16" spans="1:5">
      <c r="A16" s="1" t="s">
        <v>3</v>
      </c>
      <c r="B16" s="1" t="s">
        <v>79</v>
      </c>
      <c r="C16" s="1" t="s">
        <v>80</v>
      </c>
      <c r="D16" s="1" t="s">
        <v>99</v>
      </c>
      <c r="E16" s="1" t="s">
        <v>100</v>
      </c>
    </row>
    <row r="17" spans="1:5">
      <c r="A17" s="1" t="s">
        <v>4</v>
      </c>
      <c r="B17" s="1" t="s">
        <v>79</v>
      </c>
      <c r="C17" s="1" t="s">
        <v>80</v>
      </c>
      <c r="D17" s="1" t="s">
        <v>101</v>
      </c>
      <c r="E17" s="1" t="s">
        <v>102</v>
      </c>
    </row>
    <row r="18" spans="1:5">
      <c r="A18" s="1" t="s">
        <v>5</v>
      </c>
      <c r="B18" s="1" t="s">
        <v>84</v>
      </c>
      <c r="C18" s="1" t="s">
        <v>85</v>
      </c>
      <c r="D18" s="1">
        <v>1300</v>
      </c>
      <c r="E18" s="1" t="s">
        <v>103</v>
      </c>
    </row>
    <row r="19" spans="1:5">
      <c r="A19" s="1" t="s">
        <v>6</v>
      </c>
      <c r="B19" s="1" t="s">
        <v>84</v>
      </c>
      <c r="C19" s="1" t="s">
        <v>85</v>
      </c>
      <c r="D19" s="1">
        <v>1900</v>
      </c>
      <c r="E19" s="1" t="s">
        <v>104</v>
      </c>
    </row>
    <row r="20" spans="1:5">
      <c r="A20" s="1" t="s">
        <v>7</v>
      </c>
      <c r="B20" s="1" t="s">
        <v>105</v>
      </c>
      <c r="C20" s="1" t="s">
        <v>85</v>
      </c>
      <c r="D20" s="1" t="s">
        <v>106</v>
      </c>
      <c r="E20" s="1" t="s">
        <v>107</v>
      </c>
    </row>
    <row r="21" spans="1:5">
      <c r="A21" s="1" t="s">
        <v>8</v>
      </c>
      <c r="B21" s="1" t="s">
        <v>105</v>
      </c>
      <c r="C21" s="1" t="s">
        <v>85</v>
      </c>
      <c r="D21" s="1" t="s">
        <v>108</v>
      </c>
      <c r="E21" s="1" t="s">
        <v>107</v>
      </c>
    </row>
    <row r="22" spans="1:5">
      <c r="A22" s="1" t="s">
        <v>9</v>
      </c>
      <c r="B22" s="1" t="s">
        <v>105</v>
      </c>
      <c r="C22" s="1" t="s">
        <v>85</v>
      </c>
      <c r="D22" s="1" t="s">
        <v>109</v>
      </c>
      <c r="E22" s="1" t="s">
        <v>107</v>
      </c>
    </row>
    <row r="23" spans="1:5">
      <c r="A23" s="1" t="s">
        <v>10</v>
      </c>
      <c r="B23" s="1" t="s">
        <v>105</v>
      </c>
      <c r="C23" s="1" t="s">
        <v>85</v>
      </c>
      <c r="D23" s="1" t="s">
        <v>110</v>
      </c>
      <c r="E23" s="1" t="s">
        <v>107</v>
      </c>
    </row>
    <row r="24" spans="1:5" ht="30">
      <c r="A24" s="1" t="s">
        <v>11</v>
      </c>
      <c r="B24" s="1" t="s">
        <v>105</v>
      </c>
      <c r="C24" s="1" t="s">
        <v>88</v>
      </c>
      <c r="D24" s="1" t="s">
        <v>111</v>
      </c>
      <c r="E24" s="1" t="s">
        <v>112</v>
      </c>
    </row>
    <row r="25" spans="1:5" ht="30">
      <c r="A25" s="1" t="s">
        <v>12</v>
      </c>
      <c r="B25" s="1" t="s">
        <v>105</v>
      </c>
      <c r="C25" s="1" t="s">
        <v>88</v>
      </c>
      <c r="D25" s="1" t="s">
        <v>113</v>
      </c>
      <c r="E25" s="1" t="s">
        <v>114</v>
      </c>
    </row>
    <row r="26" spans="1:5">
      <c r="A26" s="1" t="s">
        <v>13</v>
      </c>
      <c r="B26" s="1" t="s">
        <v>84</v>
      </c>
      <c r="C26" s="1" t="s">
        <v>88</v>
      </c>
      <c r="D26" s="1">
        <v>72276</v>
      </c>
      <c r="E26" s="1" t="s">
        <v>115</v>
      </c>
    </row>
    <row r="28" spans="1:5" ht="16.5">
      <c r="A28" s="6" t="s">
        <v>118</v>
      </c>
      <c r="B28" s="7"/>
      <c r="C28" s="7"/>
      <c r="D28" s="7"/>
      <c r="E28" s="7"/>
    </row>
    <row r="29" spans="1:5">
      <c r="A29" s="2" t="s">
        <v>119</v>
      </c>
      <c r="B29" s="2" t="s">
        <v>75</v>
      </c>
      <c r="C29" s="2" t="s">
        <v>76</v>
      </c>
      <c r="D29" s="2" t="s">
        <v>77</v>
      </c>
      <c r="E29" s="2" t="s">
        <v>78</v>
      </c>
    </row>
    <row r="30" spans="1:5">
      <c r="A30" s="1" t="s">
        <v>32</v>
      </c>
      <c r="B30" s="1" t="s">
        <v>79</v>
      </c>
      <c r="C30" s="1" t="s">
        <v>80</v>
      </c>
      <c r="D30" s="1" t="s">
        <v>35</v>
      </c>
      <c r="E30" s="1" t="s">
        <v>120</v>
      </c>
    </row>
    <row r="31" spans="1:5">
      <c r="A31" s="1" t="s">
        <v>33</v>
      </c>
      <c r="B31" s="1" t="s">
        <v>79</v>
      </c>
      <c r="C31" s="1" t="s">
        <v>80</v>
      </c>
      <c r="D31" s="1" t="s">
        <v>36</v>
      </c>
      <c r="E31" s="1" t="s">
        <v>121</v>
      </c>
    </row>
    <row r="32" spans="1:5">
      <c r="A32" s="1" t="s">
        <v>34</v>
      </c>
      <c r="B32" s="1" t="s">
        <v>84</v>
      </c>
      <c r="C32" s="1" t="s">
        <v>85</v>
      </c>
      <c r="D32" s="1">
        <v>2000</v>
      </c>
      <c r="E32" s="1" t="s">
        <v>122</v>
      </c>
    </row>
    <row r="33" spans="1:5">
      <c r="A33" s="1" t="s">
        <v>29</v>
      </c>
      <c r="B33" s="1" t="s">
        <v>84</v>
      </c>
      <c r="C33" s="1" t="s">
        <v>85</v>
      </c>
      <c r="D33" s="1">
        <v>1300</v>
      </c>
      <c r="E33" s="1" t="s">
        <v>123</v>
      </c>
    </row>
    <row r="34" spans="1:5">
      <c r="A34" s="1" t="s">
        <v>13</v>
      </c>
      <c r="B34" s="1" t="s">
        <v>84</v>
      </c>
      <c r="C34" s="1" t="s">
        <v>88</v>
      </c>
      <c r="D34" s="1">
        <v>24877</v>
      </c>
      <c r="E34" s="1" t="s">
        <v>124</v>
      </c>
    </row>
    <row r="36" spans="1:5" ht="16.5">
      <c r="A36" s="6" t="s">
        <v>129</v>
      </c>
      <c r="B36" s="7"/>
      <c r="C36" s="7"/>
      <c r="D36" s="7"/>
      <c r="E36" s="7"/>
    </row>
    <row r="37" spans="1:5">
      <c r="A37" s="2" t="s">
        <v>119</v>
      </c>
      <c r="B37" s="2" t="s">
        <v>75</v>
      </c>
      <c r="C37" s="2" t="s">
        <v>76</v>
      </c>
      <c r="D37" s="2" t="s">
        <v>77</v>
      </c>
      <c r="E37" s="2" t="s">
        <v>78</v>
      </c>
    </row>
    <row r="38" spans="1:5" ht="30">
      <c r="A38" s="1" t="s">
        <v>50</v>
      </c>
      <c r="B38" s="1" t="s">
        <v>79</v>
      </c>
      <c r="C38" s="1" t="s">
        <v>80</v>
      </c>
      <c r="D38" s="1" t="s">
        <v>52</v>
      </c>
      <c r="E38" s="1" t="s">
        <v>125</v>
      </c>
    </row>
    <row r="39" spans="1:5" ht="30">
      <c r="A39" s="1" t="s">
        <v>51</v>
      </c>
      <c r="B39" s="1" t="s">
        <v>126</v>
      </c>
      <c r="C39" s="1" t="s">
        <v>127</v>
      </c>
      <c r="D39" s="1">
        <v>1440</v>
      </c>
      <c r="E39" s="1" t="s">
        <v>128</v>
      </c>
    </row>
    <row r="40" spans="1:5" ht="16.5">
      <c r="A40" s="6" t="s">
        <v>619</v>
      </c>
      <c r="B40" s="43"/>
      <c r="C40" s="43"/>
      <c r="D40" s="7"/>
      <c r="E40" s="7"/>
    </row>
    <row r="41" spans="1:5" ht="16.5">
      <c r="A41" s="42" t="s">
        <v>620</v>
      </c>
    </row>
    <row r="42" spans="1:5" ht="16.5">
      <c r="A42" s="9" t="s">
        <v>621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바닥판</vt:lpstr>
      <vt:lpstr>바닥판단가</vt:lpstr>
      <vt:lpstr>천장판</vt:lpstr>
      <vt:lpstr>천장판타공</vt:lpstr>
      <vt:lpstr>자동지정항목</vt:lpstr>
      <vt:lpstr>자재단가내역</vt:lpstr>
      <vt:lpstr>벽판</vt:lpstr>
      <vt:lpstr>PVE</vt:lpstr>
      <vt:lpstr>데이터 설명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유진 성</cp:lastModifiedBy>
  <dcterms:created xsi:type="dcterms:W3CDTF">2026-01-27T05:36:05Z</dcterms:created>
  <dcterms:modified xsi:type="dcterms:W3CDTF">2026-01-27T07:14:53Z</dcterms:modified>
</cp:coreProperties>
</file>